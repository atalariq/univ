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atalariq/Repos/kuliah/01 Perkuliahan/Semester 1/Praktikum Teknologi Informasi dan Instalasi Komputer/P12 - MS Excel II/"/>
    </mc:Choice>
  </mc:AlternateContent>
  <xr:revisionPtr revIDLastSave="0" documentId="13_ncr:1_{9125D833-0DFF-6E4F-A5E1-E27D4C331FAE}" xr6:coauthVersionLast="47" xr6:coauthVersionMax="47" xr10:uidLastSave="{00000000-0000-0000-0000-000000000000}"/>
  <bookViews>
    <workbookView xWindow="0" yWindow="500" windowWidth="28800" windowHeight="17500" activeTab="7" xr2:uid="{632DD7D5-D656-4CD9-94ED-C1E5EBF98F6E}"/>
  </bookViews>
  <sheets>
    <sheet name="HlLOOKUP" sheetId="1" r:id="rId1"/>
    <sheet name="VLOOKUP" sheetId="14" r:id="rId2"/>
    <sheet name="Auto Filter" sheetId="12" r:id="rId3"/>
    <sheet name="Grafik" sheetId="13" r:id="rId4"/>
    <sheet name="Macros" sheetId="2" r:id="rId5"/>
    <sheet name="test Macros" sheetId="10" r:id="rId6"/>
    <sheet name="goalseek" sheetId="3" r:id="rId7"/>
    <sheet name="solver" sheetId="4" r:id="rId8"/>
    <sheet name="Pivot Table" sheetId="9" r:id="rId9"/>
  </sheets>
  <externalReferences>
    <externalReference r:id="rId10"/>
  </externalReferences>
  <definedNames>
    <definedName name="_xlnm._FilterDatabase" localSheetId="0" hidden="1">HlLOOKUP!$C$2:$G$2</definedName>
    <definedName name="_xlnm._FilterDatabase" localSheetId="4" hidden="1">Macros!$B$2:$D$8</definedName>
    <definedName name="_xlnm._FilterDatabase" localSheetId="5" hidden="1">'test Macros'!$B$5:$D$11</definedName>
    <definedName name="Data">HlLOOKUP!$D$2:$G$5</definedName>
    <definedName name="solver_adj" localSheetId="4" hidden="1">Macros!$D$5</definedName>
    <definedName name="solver_adj" localSheetId="7" hidden="1">solver!$C$4:$C$8</definedName>
    <definedName name="solver_adj" localSheetId="5" hidden="1">'test Macros'!$D$8</definedName>
    <definedName name="solver_cvg" localSheetId="4" hidden="1">0.0001</definedName>
    <definedName name="solver_cvg" localSheetId="7" hidden="1">0.0001</definedName>
    <definedName name="solver_cvg" localSheetId="5" hidden="1">0.0001</definedName>
    <definedName name="solver_drv" localSheetId="4" hidden="1">1</definedName>
    <definedName name="solver_drv" localSheetId="7" hidden="1">1</definedName>
    <definedName name="solver_drv" localSheetId="5" hidden="1">1</definedName>
    <definedName name="solver_eng" localSheetId="4" hidden="1">1</definedName>
    <definedName name="solver_eng" localSheetId="7" hidden="1">1</definedName>
    <definedName name="solver_eng" localSheetId="5" hidden="1">1</definedName>
    <definedName name="solver_est" localSheetId="4" hidden="1">1</definedName>
    <definedName name="solver_est" localSheetId="7" hidden="1">1</definedName>
    <definedName name="solver_est" localSheetId="5" hidden="1">1</definedName>
    <definedName name="solver_itr" localSheetId="4" hidden="1">2147483647</definedName>
    <definedName name="solver_itr" localSheetId="7" hidden="1">2147483647</definedName>
    <definedName name="solver_itr" localSheetId="5" hidden="1">2147483647</definedName>
    <definedName name="solver_lhs1" localSheetId="4" hidden="1">Macros!$E$3</definedName>
    <definedName name="solver_lhs1" localSheetId="7" hidden="1">solver!$C$4:$C$8</definedName>
    <definedName name="solver_lhs1" localSheetId="5" hidden="1">'test Macros'!$E$6</definedName>
    <definedName name="solver_lhs2" localSheetId="7" hidden="1">solver!$C$4:$C$8</definedName>
    <definedName name="solver_lhs3" localSheetId="7" hidden="1">solver!$C$9</definedName>
    <definedName name="solver_lhs4" localSheetId="7" hidden="1">solver!$G$9</definedName>
    <definedName name="solver_mip" localSheetId="4" hidden="1">2147483647</definedName>
    <definedName name="solver_mip" localSheetId="7" hidden="1">2147483647</definedName>
    <definedName name="solver_mip" localSheetId="5" hidden="1">2147483647</definedName>
    <definedName name="solver_mni" localSheetId="4" hidden="1">30</definedName>
    <definedName name="solver_mni" localSheetId="7" hidden="1">30</definedName>
    <definedName name="solver_mni" localSheetId="5" hidden="1">30</definedName>
    <definedName name="solver_mrt" localSheetId="4" hidden="1">0.075</definedName>
    <definedName name="solver_mrt" localSheetId="7" hidden="1">0.075</definedName>
    <definedName name="solver_mrt" localSheetId="5" hidden="1">0.075</definedName>
    <definedName name="solver_msl" localSheetId="4" hidden="1">2</definedName>
    <definedName name="solver_msl" localSheetId="7" hidden="1">2</definedName>
    <definedName name="solver_msl" localSheetId="5" hidden="1">2</definedName>
    <definedName name="solver_neg" localSheetId="4" hidden="1">1</definedName>
    <definedName name="solver_neg" localSheetId="7" hidden="1">1</definedName>
    <definedName name="solver_neg" localSheetId="5" hidden="1">1</definedName>
    <definedName name="solver_nod" localSheetId="4" hidden="1">2147483647</definedName>
    <definedName name="solver_nod" localSheetId="7" hidden="1">2147483647</definedName>
    <definedName name="solver_nod" localSheetId="5" hidden="1">2147483647</definedName>
    <definedName name="solver_num" localSheetId="4" hidden="1">1</definedName>
    <definedName name="solver_num" localSheetId="7" hidden="1">4</definedName>
    <definedName name="solver_num" localSheetId="5" hidden="1">1</definedName>
    <definedName name="solver_nwt" localSheetId="4" hidden="1">1</definedName>
    <definedName name="solver_nwt" localSheetId="7" hidden="1">1</definedName>
    <definedName name="solver_nwt" localSheetId="5" hidden="1">1</definedName>
    <definedName name="solver_opt" localSheetId="4" hidden="1">Macros!$E$3</definedName>
    <definedName name="solver_opt" localSheetId="7" hidden="1">solver!$H$9</definedName>
    <definedName name="solver_opt" localSheetId="5" hidden="1">'test Macros'!$E$6</definedName>
    <definedName name="solver_pre" localSheetId="4" hidden="1">0.000001</definedName>
    <definedName name="solver_pre" localSheetId="7" hidden="1">0.000001</definedName>
    <definedName name="solver_pre" localSheetId="5" hidden="1">0.000001</definedName>
    <definedName name="solver_rbv" localSheetId="4" hidden="1">1</definedName>
    <definedName name="solver_rbv" localSheetId="7" hidden="1">1</definedName>
    <definedName name="solver_rbv" localSheetId="5" hidden="1">1</definedName>
    <definedName name="solver_rel1" localSheetId="4" hidden="1">1</definedName>
    <definedName name="solver_rel1" localSheetId="7" hidden="1">1</definedName>
    <definedName name="solver_rel1" localSheetId="5" hidden="1">1</definedName>
    <definedName name="solver_rel2" localSheetId="7" hidden="1">4</definedName>
    <definedName name="solver_rel3" localSheetId="7" hidden="1">1</definedName>
    <definedName name="solver_rel4" localSheetId="7" hidden="1">1</definedName>
    <definedName name="solver_rhs1" localSheetId="4" hidden="1">Macros!$D$6</definedName>
    <definedName name="solver_rhs1" localSheetId="7" hidden="1">solver!$D$4:$D$8</definedName>
    <definedName name="solver_rhs1" localSheetId="5" hidden="1">'test Macros'!$D$9</definedName>
    <definedName name="solver_rhs2" localSheetId="7" hidden="1">"integer"</definedName>
    <definedName name="solver_rhs3" localSheetId="7" hidden="1">solver!$C$11</definedName>
    <definedName name="solver_rhs4" localSheetId="7" hidden="1">solver!$C$12</definedName>
    <definedName name="solver_rlx" localSheetId="4" hidden="1">2</definedName>
    <definedName name="solver_rlx" localSheetId="7" hidden="1">2</definedName>
    <definedName name="solver_rlx" localSheetId="5" hidden="1">2</definedName>
    <definedName name="solver_rsd" localSheetId="4" hidden="1">0</definedName>
    <definedName name="solver_rsd" localSheetId="7" hidden="1">0</definedName>
    <definedName name="solver_rsd" localSheetId="5" hidden="1">0</definedName>
    <definedName name="solver_scl" localSheetId="4" hidden="1">1</definedName>
    <definedName name="solver_scl" localSheetId="7" hidden="1">1</definedName>
    <definedName name="solver_scl" localSheetId="5" hidden="1">1</definedName>
    <definedName name="solver_sho" localSheetId="4" hidden="1">2</definedName>
    <definedName name="solver_sho" localSheetId="7" hidden="1">2</definedName>
    <definedName name="solver_sho" localSheetId="5" hidden="1">2</definedName>
    <definedName name="solver_ssz" localSheetId="4" hidden="1">100</definedName>
    <definedName name="solver_ssz" localSheetId="7" hidden="1">100</definedName>
    <definedName name="solver_ssz" localSheetId="5" hidden="1">100</definedName>
    <definedName name="solver_tim" localSheetId="4" hidden="1">2147483647</definedName>
    <definedName name="solver_tim" localSheetId="7" hidden="1">2147483647</definedName>
    <definedName name="solver_tim" localSheetId="5" hidden="1">2147483647</definedName>
    <definedName name="solver_tol" localSheetId="4" hidden="1">0.01</definedName>
    <definedName name="solver_tol" localSheetId="7" hidden="1">0.01</definedName>
    <definedName name="solver_tol" localSheetId="5" hidden="1">0.01</definedName>
    <definedName name="solver_typ" localSheetId="4" hidden="1">3</definedName>
    <definedName name="solver_typ" localSheetId="7" hidden="1">1</definedName>
    <definedName name="solver_typ" localSheetId="5" hidden="1">3</definedName>
    <definedName name="solver_val" localSheetId="4" hidden="1">100</definedName>
    <definedName name="solver_val" localSheetId="7" hidden="1">0</definedName>
    <definedName name="solver_val" localSheetId="5" hidden="1">100</definedName>
    <definedName name="solver_ver" localSheetId="4" hidden="1">3</definedName>
    <definedName name="solver_ver" localSheetId="7" hidden="1">3</definedName>
    <definedName name="solver_ver" localSheetId="5" hidden="1">3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F7" i="10"/>
  <c r="F8" i="10"/>
  <c r="F9" i="10"/>
  <c r="F10" i="10"/>
  <c r="F11" i="10"/>
  <c r="F6" i="10"/>
  <c r="F4" i="2"/>
  <c r="F5" i="2"/>
  <c r="F6" i="2"/>
  <c r="F7" i="2"/>
  <c r="F8" i="2"/>
  <c r="F3" i="2"/>
  <c r="H16" i="14"/>
  <c r="H20" i="14"/>
  <c r="H13" i="1"/>
  <c r="G14" i="14"/>
  <c r="G15" i="14"/>
  <c r="G16" i="14"/>
  <c r="G17" i="14"/>
  <c r="G18" i="14"/>
  <c r="G19" i="14"/>
  <c r="G20" i="14"/>
  <c r="G21" i="14"/>
  <c r="G22" i="14"/>
  <c r="G13" i="14"/>
  <c r="F15" i="14"/>
  <c r="H15" i="14" s="1"/>
  <c r="F16" i="14"/>
  <c r="F19" i="14"/>
  <c r="H19" i="14" s="1"/>
  <c r="F20" i="14"/>
  <c r="F13" i="14"/>
  <c r="H13" i="14" s="1"/>
  <c r="E14" i="14"/>
  <c r="F14" i="14" s="1"/>
  <c r="H14" i="14" s="1"/>
  <c r="E15" i="14"/>
  <c r="E16" i="14"/>
  <c r="E17" i="14"/>
  <c r="F17" i="14" s="1"/>
  <c r="H17" i="14" s="1"/>
  <c r="E18" i="14"/>
  <c r="F18" i="14" s="1"/>
  <c r="H18" i="14" s="1"/>
  <c r="E19" i="14"/>
  <c r="E20" i="14"/>
  <c r="E21" i="14"/>
  <c r="F21" i="14" s="1"/>
  <c r="H21" i="14" s="1"/>
  <c r="E22" i="14"/>
  <c r="F22" i="14" s="1"/>
  <c r="H22" i="14" s="1"/>
  <c r="E13" i="14"/>
  <c r="D13" i="14"/>
  <c r="D14" i="14"/>
  <c r="D15" i="14"/>
  <c r="D16" i="14"/>
  <c r="D17" i="14"/>
  <c r="D18" i="14"/>
  <c r="D19" i="14"/>
  <c r="D20" i="14"/>
  <c r="D21" i="14"/>
  <c r="D22" i="14"/>
  <c r="G14" i="1"/>
  <c r="G15" i="1"/>
  <c r="G16" i="1"/>
  <c r="G17" i="1"/>
  <c r="G18" i="1"/>
  <c r="G19" i="1"/>
  <c r="G20" i="1"/>
  <c r="G21" i="1"/>
  <c r="G22" i="1"/>
  <c r="G13" i="1"/>
  <c r="F14" i="1"/>
  <c r="H14" i="1" s="1"/>
  <c r="F15" i="1"/>
  <c r="H15" i="1" s="1"/>
  <c r="F18" i="1"/>
  <c r="H18" i="1" s="1"/>
  <c r="F19" i="1"/>
  <c r="H19" i="1" s="1"/>
  <c r="F22" i="1"/>
  <c r="H22" i="1" s="1"/>
  <c r="E14" i="1"/>
  <c r="E15" i="1"/>
  <c r="E16" i="1"/>
  <c r="F16" i="1" s="1"/>
  <c r="H16" i="1" s="1"/>
  <c r="E17" i="1"/>
  <c r="F17" i="1" s="1"/>
  <c r="H17" i="1" s="1"/>
  <c r="E18" i="1"/>
  <c r="E19" i="1"/>
  <c r="E20" i="1"/>
  <c r="F20" i="1" s="1"/>
  <c r="H20" i="1" s="1"/>
  <c r="E21" i="1"/>
  <c r="F21" i="1" s="1"/>
  <c r="H21" i="1" s="1"/>
  <c r="E22" i="1"/>
  <c r="E13" i="1"/>
  <c r="F13" i="1" s="1"/>
  <c r="D14" i="1"/>
  <c r="D15" i="1"/>
  <c r="D16" i="1"/>
  <c r="D17" i="1"/>
  <c r="D18" i="1"/>
  <c r="D19" i="1"/>
  <c r="D20" i="1"/>
  <c r="D21" i="1"/>
  <c r="D22" i="1"/>
  <c r="C9" i="4"/>
  <c r="C8" i="3"/>
  <c r="C5" i="3"/>
  <c r="E7" i="10"/>
  <c r="E8" i="10"/>
  <c r="E9" i="10"/>
  <c r="E10" i="10"/>
  <c r="E11" i="10"/>
  <c r="E6" i="10"/>
  <c r="D12" i="10"/>
  <c r="E4" i="2"/>
  <c r="E5" i="2"/>
  <c r="E6" i="2"/>
  <c r="E7" i="2"/>
  <c r="E8" i="2"/>
  <c r="E3" i="2"/>
  <c r="H5" i="4"/>
  <c r="H6" i="4"/>
  <c r="H7" i="4"/>
  <c r="H8" i="4"/>
  <c r="H4" i="4"/>
  <c r="G4" i="4"/>
  <c r="G5" i="4"/>
  <c r="G6" i="4"/>
  <c r="G7" i="4"/>
  <c r="G8" i="4"/>
  <c r="D9" i="2"/>
  <c r="C10" i="3" l="1"/>
  <c r="G9" i="4"/>
  <c r="H9" i="4"/>
</calcChain>
</file>

<file path=xl/sharedStrings.xml><?xml version="1.0" encoding="utf-8"?>
<sst xmlns="http://schemas.openxmlformats.org/spreadsheetml/2006/main" count="253" uniqueCount="129">
  <si>
    <t>H001</t>
  </si>
  <si>
    <t>H002</t>
  </si>
  <si>
    <t>H003</t>
  </si>
  <si>
    <t>H004</t>
  </si>
  <si>
    <t>Nama</t>
  </si>
  <si>
    <t>Potongan</t>
  </si>
  <si>
    <t>Harga</t>
  </si>
  <si>
    <t>Nokia</t>
  </si>
  <si>
    <t>Samsung</t>
  </si>
  <si>
    <t>Sony</t>
  </si>
  <si>
    <t>LG</t>
  </si>
  <si>
    <t>DAFTAR PENJUALAN HANPHONE</t>
  </si>
  <si>
    <t>PER AGUSTUS 2008</t>
  </si>
  <si>
    <t>Kode Barang</t>
  </si>
  <si>
    <t>Jumlah</t>
  </si>
  <si>
    <t>Nama Barang</t>
  </si>
  <si>
    <t>Harga Satuan</t>
  </si>
  <si>
    <t>Total Harga</t>
  </si>
  <si>
    <t>Discount</t>
  </si>
  <si>
    <t>Total</t>
  </si>
  <si>
    <t>ID</t>
  </si>
  <si>
    <t>Nama Produk</t>
  </si>
  <si>
    <t>Jumlah Barang</t>
  </si>
  <si>
    <t xml:space="preserve">Roti </t>
  </si>
  <si>
    <t>Daging</t>
  </si>
  <si>
    <t>Soda</t>
  </si>
  <si>
    <t>Sabun</t>
  </si>
  <si>
    <t>Tas</t>
  </si>
  <si>
    <t>Sepatu</t>
  </si>
  <si>
    <t xml:space="preserve"> </t>
  </si>
  <si>
    <t>1. Berapa mangkok harus dijual untuk dapat keuntungan 1 juta?</t>
  </si>
  <si>
    <t>2. Berapa mangkok harus dijual untuk dapat keuntungan 15 juta?</t>
  </si>
  <si>
    <t>Omset Penjualan</t>
  </si>
  <si>
    <t>Total Modal</t>
  </si>
  <si>
    <t>Keuntungan Bersih</t>
  </si>
  <si>
    <t>Jenis Minuman</t>
  </si>
  <si>
    <t>Jumlah yang harus dibuat</t>
  </si>
  <si>
    <t>Perkiraan Penjualan per hari</t>
  </si>
  <si>
    <t>Harga Modal</t>
  </si>
  <si>
    <t>Keuntungan per gelas</t>
  </si>
  <si>
    <t>Total Keuntungan</t>
  </si>
  <si>
    <t>Kopi Gula Aren</t>
  </si>
  <si>
    <t>Kopi Hitam</t>
  </si>
  <si>
    <t>Matcha Latte</t>
  </si>
  <si>
    <t>Bubble Milk Tea</t>
  </si>
  <si>
    <t>Cappucino</t>
  </si>
  <si>
    <t>TOTAL</t>
  </si>
  <si>
    <t>Kapasitas Produksi</t>
  </si>
  <si>
    <t>Modal yang dimiliki</t>
  </si>
  <si>
    <t>Ketentuan:</t>
  </si>
  <si>
    <t>1. Jumlah harus berbentuk angka bulat</t>
  </si>
  <si>
    <t>2. Jumlah yang dibuat harus sesuai dengan kapasitas produksi</t>
  </si>
  <si>
    <t>3. Jumlah yang dibuat tidak bisa lebih dari perkiraan penjualan per hari</t>
  </si>
  <si>
    <t>4. Total modal tidak boleh melebihi modal yang dimiliki</t>
  </si>
  <si>
    <t>Row Labels</t>
  </si>
  <si>
    <t>Grand Total</t>
  </si>
  <si>
    <t>Column Labels</t>
  </si>
  <si>
    <t>Bulan</t>
  </si>
  <si>
    <t>Motor</t>
  </si>
  <si>
    <t>Area</t>
  </si>
  <si>
    <t>Penjualan</t>
  </si>
  <si>
    <t>Jan</t>
  </si>
  <si>
    <t>Honda</t>
  </si>
  <si>
    <t>Jakarta</t>
  </si>
  <si>
    <t>Feb</t>
  </si>
  <si>
    <t>Yamaha</t>
  </si>
  <si>
    <t>Kawasaki</t>
  </si>
  <si>
    <t>Bandung</t>
  </si>
  <si>
    <t>Surabaya</t>
  </si>
  <si>
    <t>Mar</t>
  </si>
  <si>
    <t>Test</t>
  </si>
  <si>
    <t>Porsi Terjual</t>
  </si>
  <si>
    <t>Harga per Porsi</t>
  </si>
  <si>
    <t>Modal per Porsi</t>
  </si>
  <si>
    <t>Sum of Penjualan</t>
  </si>
  <si>
    <t>(Multiple Items)</t>
  </si>
  <si>
    <t>Kelahiran</t>
  </si>
  <si>
    <t>Usia</t>
  </si>
  <si>
    <t>Pekerjaan</t>
  </si>
  <si>
    <t>Status</t>
  </si>
  <si>
    <t xml:space="preserve">Keterangan </t>
  </si>
  <si>
    <t>Budi</t>
  </si>
  <si>
    <t>Petani</t>
  </si>
  <si>
    <t>Lajang</t>
  </si>
  <si>
    <t>Usia dibawah 20</t>
  </si>
  <si>
    <t>Andi</t>
  </si>
  <si>
    <t>14/3/1986</t>
  </si>
  <si>
    <t>Usia 20-25</t>
  </si>
  <si>
    <t>Bunga</t>
  </si>
  <si>
    <t>Sales</t>
  </si>
  <si>
    <t>Menikah</t>
  </si>
  <si>
    <t>Usia 26-30</t>
  </si>
  <si>
    <t>Gunawan</t>
  </si>
  <si>
    <t>28/8/1993</t>
  </si>
  <si>
    <t>Programmer</t>
  </si>
  <si>
    <t>Usia diatas 30</t>
  </si>
  <si>
    <t>Faiz</t>
  </si>
  <si>
    <t>19/1/1999</t>
  </si>
  <si>
    <t>Ridwan</t>
  </si>
  <si>
    <t>Chef</t>
  </si>
  <si>
    <t>Cahya</t>
  </si>
  <si>
    <t>Tidak bekerja</t>
  </si>
  <si>
    <t>Intan</t>
  </si>
  <si>
    <t>Nirmala</t>
  </si>
  <si>
    <t>14/3/2001</t>
  </si>
  <si>
    <t>Sekar</t>
  </si>
  <si>
    <t>21/7/2001</t>
  </si>
  <si>
    <t>Lutfi</t>
  </si>
  <si>
    <t>27/2/1992</t>
  </si>
  <si>
    <t>Pembalap</t>
  </si>
  <si>
    <t>Anton</t>
  </si>
  <si>
    <t>CEO</t>
  </si>
  <si>
    <t>Andika</t>
  </si>
  <si>
    <t>PNS</t>
  </si>
  <si>
    <t>Sukma</t>
  </si>
  <si>
    <t>19/9/1989</t>
  </si>
  <si>
    <t>Robby</t>
  </si>
  <si>
    <t>No</t>
  </si>
  <si>
    <t>Roti</t>
  </si>
  <si>
    <t xml:space="preserve">Sepatu </t>
  </si>
  <si>
    <t>Sikat Gigi</t>
  </si>
  <si>
    <t>Laptop</t>
  </si>
  <si>
    <t>Handphone</t>
  </si>
  <si>
    <t>Buku</t>
  </si>
  <si>
    <t>Pensil</t>
  </si>
  <si>
    <t>Botol minuman</t>
  </si>
  <si>
    <t>Gelas</t>
  </si>
  <si>
    <t>Test 2</t>
  </si>
  <si>
    <t>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</si>
</sst>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p&quot;* #,##0.00_-;\-&quot;Rp&quot;* #,##0.00_-;_-&quot;Rp&quot;* &quot;-&quot;??_-;_-@_-"/>
    <numFmt numFmtId="165" formatCode="_-* #,##0.00_-;\-* #,##0.00_-;_-* &quot;-&quot;??_-;_-@_-"/>
    <numFmt numFmtId="166" formatCode="&quot;Rp&quot;#,##0"/>
    <numFmt numFmtId="167" formatCode="_-* #,##0_-;\-* #,##0_-;_-* &quot;-&quot;??_-;_-@_-"/>
    <numFmt numFmtId="168" formatCode="_(* #,##0_);_(* \(#,##0\);_(* &quot;-&quot;??_);_(@_)"/>
  </numFmts>
  <fonts count="7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left" vertical="center"/>
    </xf>
    <xf numFmtId="9" fontId="0" fillId="0" borderId="1" xfId="0" applyNumberFormat="1" applyBorder="1" applyAlignment="1">
      <alignment horizontal="left"/>
    </xf>
    <xf numFmtId="0" fontId="0" fillId="3" borderId="0" xfId="0" applyFill="1"/>
    <xf numFmtId="0" fontId="0" fillId="2" borderId="1" xfId="0" applyFill="1" applyBorder="1"/>
    <xf numFmtId="167" fontId="0" fillId="0" borderId="1" xfId="1" applyNumberFormat="1" applyFont="1" applyBorder="1"/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8" xfId="0" applyFont="1" applyBorder="1" applyAlignment="1">
      <alignment horizontal="right"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horizontal="right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vertical="center"/>
    </xf>
    <xf numFmtId="0" fontId="5" fillId="0" borderId="9" xfId="0" applyFont="1" applyBorder="1"/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67" fontId="0" fillId="0" borderId="1" xfId="0" applyNumberFormat="1" applyBorder="1"/>
    <xf numFmtId="167" fontId="0" fillId="3" borderId="0" xfId="0" applyNumberFormat="1" applyFill="1"/>
    <xf numFmtId="167" fontId="4" fillId="0" borderId="0" xfId="1" applyNumberFormat="1" applyFont="1" applyAlignment="1">
      <alignment horizontal="right" wrapText="1"/>
    </xf>
    <xf numFmtId="167" fontId="4" fillId="0" borderId="8" xfId="1" applyNumberFormat="1" applyFont="1" applyBorder="1" applyAlignment="1">
      <alignment horizontal="right" wrapText="1"/>
    </xf>
    <xf numFmtId="167" fontId="3" fillId="5" borderId="8" xfId="1" applyNumberFormat="1" applyFont="1" applyFill="1" applyBorder="1" applyAlignment="1">
      <alignment horizontal="right" wrapText="1"/>
    </xf>
    <xf numFmtId="9" fontId="0" fillId="0" borderId="1" xfId="2" applyFont="1" applyBorder="1"/>
    <xf numFmtId="0" fontId="6" fillId="0" borderId="2" xfId="0" applyFont="1" applyBorder="1" applyAlignment="1">
      <alignment horizontal="center"/>
    </xf>
    <xf numFmtId="0" fontId="4" fillId="0" borderId="0" xfId="3"/>
    <xf numFmtId="168" fontId="4" fillId="0" borderId="1" xfId="4" applyNumberFormat="1" applyFont="1" applyBorder="1"/>
    <xf numFmtId="168" fontId="3" fillId="6" borderId="1" xfId="4" applyNumberFormat="1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164" fontId="0" fillId="0" borderId="0" xfId="0" applyNumberFormat="1"/>
    <xf numFmtId="0" fontId="4" fillId="0" borderId="1" xfId="3" applyBorder="1"/>
    <xf numFmtId="0" fontId="4" fillId="7" borderId="1" xfId="3" applyFill="1" applyBorder="1"/>
    <xf numFmtId="0" fontId="4" fillId="10" borderId="0" xfId="3" applyFill="1"/>
    <xf numFmtId="0" fontId="4" fillId="11" borderId="0" xfId="3" applyFill="1"/>
    <xf numFmtId="0" fontId="4" fillId="12" borderId="0" xfId="3" applyFill="1"/>
    <xf numFmtId="0" fontId="4" fillId="13" borderId="0" xfId="3" applyFill="1"/>
    <xf numFmtId="14" fontId="4" fillId="0" borderId="1" xfId="3" applyNumberFormat="1" applyBorder="1" applyAlignment="1">
      <alignment horizontal="center"/>
    </xf>
    <xf numFmtId="0" fontId="4" fillId="13" borderId="1" xfId="3" applyFill="1" applyBorder="1" applyAlignment="1">
      <alignment horizontal="center" vertical="center"/>
    </xf>
    <xf numFmtId="0" fontId="4" fillId="10" borderId="1" xfId="3" applyFill="1" applyBorder="1" applyAlignment="1">
      <alignment horizontal="center" vertical="center"/>
    </xf>
    <xf numFmtId="0" fontId="4" fillId="11" borderId="1" xfId="3" applyFill="1" applyBorder="1" applyAlignment="1">
      <alignment horizontal="center" vertical="center"/>
    </xf>
    <xf numFmtId="0" fontId="4" fillId="12" borderId="1" xfId="3" applyFill="1" applyBorder="1" applyAlignment="1">
      <alignment horizontal="center" vertical="center"/>
    </xf>
    <xf numFmtId="0" fontId="4" fillId="0" borderId="0" xfId="3" applyAlignment="1">
      <alignment horizontal="center" vertical="center"/>
    </xf>
    <xf numFmtId="0" fontId="4" fillId="0" borderId="1" xfId="3" applyBorder="1" applyAlignment="1">
      <alignment horizontal="center" vertical="center"/>
    </xf>
    <xf numFmtId="0" fontId="4" fillId="7" borderId="1" xfId="3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4" xfId="3" applyBorder="1"/>
    <xf numFmtId="0" fontId="4" fillId="0" borderId="2" xfId="3" applyBorder="1"/>
    <xf numFmtId="0" fontId="4" fillId="7" borderId="10" xfId="3" applyFill="1" applyBorder="1"/>
    <xf numFmtId="0" fontId="4" fillId="7" borderId="11" xfId="3" applyFill="1" applyBorder="1"/>
    <xf numFmtId="0" fontId="4" fillId="7" borderId="12" xfId="3" applyFill="1" applyBorder="1"/>
    <xf numFmtId="0" fontId="4" fillId="0" borderId="13" xfId="3" applyBorder="1"/>
    <xf numFmtId="14" fontId="4" fillId="0" borderId="14" xfId="3" applyNumberFormat="1" applyBorder="1" applyAlignment="1">
      <alignment horizontal="center"/>
    </xf>
    <xf numFmtId="0" fontId="4" fillId="12" borderId="14" xfId="3" applyFill="1" applyBorder="1" applyAlignment="1">
      <alignment horizontal="center" vertical="center"/>
    </xf>
    <xf numFmtId="0" fontId="4" fillId="0" borderId="14" xfId="3" applyBorder="1"/>
    <xf numFmtId="0" fontId="4" fillId="0" borderId="15" xfId="3" applyBorder="1"/>
    <xf numFmtId="0" fontId="6" fillId="10" borderId="2" xfId="0" applyFont="1" applyFill="1" applyBorder="1" applyAlignment="1">
      <alignment horizontal="center"/>
    </xf>
    <xf numFmtId="0" fontId="0" fillId="0" borderId="2" xfId="0" applyBorder="1"/>
    <xf numFmtId="0" fontId="6" fillId="9" borderId="14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3" applyBorder="1"/>
  </cellXfs>
  <cellStyles count="6">
    <cellStyle name="Comma" xfId="1" builtinId="3"/>
    <cellStyle name="Comma 2" xfId="4" xr:uid="{AE5AD87B-91CB-441D-98FD-7D9590FDBE10}"/>
    <cellStyle name="Normal" xfId="0" builtinId="0"/>
    <cellStyle name="Normal 2" xfId="3" xr:uid="{657A0C63-DBC2-4F4B-94CB-F002ACE25939}"/>
    <cellStyle name="Percent" xfId="2" builtinId="5"/>
    <cellStyle name="Percent 2" xfId="5" xr:uid="{3E703399-3BA1-4061-ADAC-5D475DC00B55}"/>
  </cellStyles>
  <dxfs count="10">
    <dxf>
      <font>
        <color rgb="FF006100"/>
      </font>
      <fill>
        <patternFill>
          <bgColor rgb="FFC6EF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25293320825779"/>
          <c:y val="0.23263895602458828"/>
          <c:w val="0.89019685039370078"/>
          <c:h val="0.55100174978127736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'[1]Pembuatan Grafik'!$E$3:$E$15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'[1]Pembuatan Grafik'!$E$2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'[1]Pembuatan Grafik'!$D$3:$D$15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C243-4024-9EFD-01F6776164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39190064"/>
        <c:axId val="1756985984"/>
      </c:barChart>
      <c:catAx>
        <c:axId val="163919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985984"/>
        <c:crosses val="autoZero"/>
        <c:auto val="1"/>
        <c:lblAlgn val="ctr"/>
        <c:lblOffset val="100"/>
        <c:noMultiLvlLbl val="0"/>
      </c:catAx>
      <c:valAx>
        <c:axId val="175698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9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Grafik!$E$2</c:f>
              <c:strCache>
                <c:ptCount val="1"/>
                <c:pt idx="0">
                  <c:v>Jumlah Barang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Grafik!$C$3:$D$15</c:f>
              <c:multiLvlStrCache>
                <c:ptCount val="13"/>
                <c:lvl>
                  <c:pt idx="0">
                    <c:v>Roti</c:v>
                  </c:pt>
                  <c:pt idx="1">
                    <c:v>Daging</c:v>
                  </c:pt>
                  <c:pt idx="2">
                    <c:v>Soda</c:v>
                  </c:pt>
                  <c:pt idx="3">
                    <c:v>Sabun</c:v>
                  </c:pt>
                  <c:pt idx="4">
                    <c:v>Tas</c:v>
                  </c:pt>
                  <c:pt idx="5">
                    <c:v>Sepatu </c:v>
                  </c:pt>
                  <c:pt idx="6">
                    <c:v>Sikat Gigi</c:v>
                  </c:pt>
                  <c:pt idx="7">
                    <c:v>Laptop</c:v>
                  </c:pt>
                  <c:pt idx="8">
                    <c:v>Handphone</c:v>
                  </c:pt>
                  <c:pt idx="9">
                    <c:v>Buku</c:v>
                  </c:pt>
                  <c:pt idx="10">
                    <c:v>Pensil</c:v>
                  </c:pt>
                  <c:pt idx="11">
                    <c:v>Botol minuman</c:v>
                  </c:pt>
                  <c:pt idx="12">
                    <c:v>Gelas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</c:lvl>
              </c:multiLvlStrCache>
            </c:multiLvlStrRef>
          </c:cat>
          <c:val>
            <c:numRef>
              <c:f>Grafik!$E$3:$E$15</c:f>
              <c:numCache>
                <c:formatCode>General</c:formatCode>
                <c:ptCount val="13"/>
                <c:pt idx="0">
                  <c:v>50</c:v>
                </c:pt>
                <c:pt idx="1">
                  <c:v>65</c:v>
                </c:pt>
                <c:pt idx="2">
                  <c:v>72</c:v>
                </c:pt>
                <c:pt idx="3">
                  <c:v>100</c:v>
                </c:pt>
                <c:pt idx="4">
                  <c:v>18</c:v>
                </c:pt>
                <c:pt idx="5">
                  <c:v>98</c:v>
                </c:pt>
                <c:pt idx="6">
                  <c:v>87</c:v>
                </c:pt>
                <c:pt idx="7">
                  <c:v>12</c:v>
                </c:pt>
                <c:pt idx="8">
                  <c:v>12</c:v>
                </c:pt>
                <c:pt idx="9">
                  <c:v>72</c:v>
                </c:pt>
                <c:pt idx="10">
                  <c:v>63</c:v>
                </c:pt>
                <c:pt idx="11">
                  <c:v>90</c:v>
                </c:pt>
                <c:pt idx="1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40-4B58-A761-5B80E2DCD4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246862992"/>
        <c:axId val="246680064"/>
      </c:barChart>
      <c:catAx>
        <c:axId val="24686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80064"/>
        <c:crosses val="autoZero"/>
        <c:auto val="1"/>
        <c:lblAlgn val="ctr"/>
        <c:lblOffset val="100"/>
        <c:noMultiLvlLbl val="0"/>
      </c:catAx>
      <c:valAx>
        <c:axId val="246680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86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Grafik!$E$2</c:f>
              <c:strCache>
                <c:ptCount val="1"/>
                <c:pt idx="0">
                  <c:v>Jumlah Barang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3C3-43A5-90A4-33D67828BF5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B3C3-43A5-90A4-33D67828BF5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B3C3-43A5-90A4-33D67828BF5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B3C3-43A5-90A4-33D67828BF5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B3C3-43A5-90A4-33D67828BF5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B3C3-43A5-90A4-33D67828BF5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B3C3-43A5-90A4-33D67828BF5D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B3C3-43A5-90A4-33D67828BF5D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B3C3-43A5-90A4-33D67828BF5D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B3C3-43A5-90A4-33D67828BF5D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B3C3-43A5-90A4-33D67828BF5D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B3C3-43A5-90A4-33D67828BF5D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B3C3-43A5-90A4-33D67828BF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Grafik!$C$3:$D$15</c:f>
              <c:multiLvlStrCache>
                <c:ptCount val="13"/>
                <c:lvl>
                  <c:pt idx="0">
                    <c:v>Roti</c:v>
                  </c:pt>
                  <c:pt idx="1">
                    <c:v>Daging</c:v>
                  </c:pt>
                  <c:pt idx="2">
                    <c:v>Soda</c:v>
                  </c:pt>
                  <c:pt idx="3">
                    <c:v>Sabun</c:v>
                  </c:pt>
                  <c:pt idx="4">
                    <c:v>Tas</c:v>
                  </c:pt>
                  <c:pt idx="5">
                    <c:v>Sepatu </c:v>
                  </c:pt>
                  <c:pt idx="6">
                    <c:v>Sikat Gigi</c:v>
                  </c:pt>
                  <c:pt idx="7">
                    <c:v>Laptop</c:v>
                  </c:pt>
                  <c:pt idx="8">
                    <c:v>Handphone</c:v>
                  </c:pt>
                  <c:pt idx="9">
                    <c:v>Buku</c:v>
                  </c:pt>
                  <c:pt idx="10">
                    <c:v>Pensil</c:v>
                  </c:pt>
                  <c:pt idx="11">
                    <c:v>Botol minuman</c:v>
                  </c:pt>
                  <c:pt idx="12">
                    <c:v>Gelas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</c:lvl>
              </c:multiLvlStrCache>
            </c:multiLvlStrRef>
          </c:cat>
          <c:val>
            <c:numRef>
              <c:f>Grafik!$E$3:$E$15</c:f>
              <c:numCache>
                <c:formatCode>General</c:formatCode>
                <c:ptCount val="13"/>
                <c:pt idx="0">
                  <c:v>50</c:v>
                </c:pt>
                <c:pt idx="1">
                  <c:v>65</c:v>
                </c:pt>
                <c:pt idx="2">
                  <c:v>72</c:v>
                </c:pt>
                <c:pt idx="3">
                  <c:v>100</c:v>
                </c:pt>
                <c:pt idx="4">
                  <c:v>18</c:v>
                </c:pt>
                <c:pt idx="5">
                  <c:v>98</c:v>
                </c:pt>
                <c:pt idx="6">
                  <c:v>87</c:v>
                </c:pt>
                <c:pt idx="7">
                  <c:v>12</c:v>
                </c:pt>
                <c:pt idx="8">
                  <c:v>12</c:v>
                </c:pt>
                <c:pt idx="9">
                  <c:v>72</c:v>
                </c:pt>
                <c:pt idx="10">
                  <c:v>63</c:v>
                </c:pt>
                <c:pt idx="11">
                  <c:v>90</c:v>
                </c:pt>
                <c:pt idx="1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36-41F5-8BFC-8B8CFB2FA3D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0</xdr:rowOff>
    </xdr:from>
    <xdr:to>
      <xdr:col>6</xdr:col>
      <xdr:colOff>410072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F81D3B-8F44-48D1-9AE0-1406C7FAB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410161</xdr:colOff>
      <xdr:row>0</xdr:row>
      <xdr:rowOff>103016</xdr:rowOff>
    </xdr:from>
    <xdr:to>
      <xdr:col>13</xdr:col>
      <xdr:colOff>120894</xdr:colOff>
      <xdr:row>15</xdr:row>
      <xdr:rowOff>98620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B0DEC6-1B47-8C3A-2276-CEAD317062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21105</xdr:colOff>
      <xdr:row>16</xdr:row>
      <xdr:rowOff>174125</xdr:rowOff>
    </xdr:from>
    <xdr:to>
      <xdr:col>14</xdr:col>
      <xdr:colOff>355377</xdr:colOff>
      <xdr:row>32</xdr:row>
      <xdr:rowOff>49506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E5E701-9E9E-D64F-D401-5069767EC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xcel_menengah_vlookup_hlookup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mbuatan Grafik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han" refreshedDate="45244.397327777777" createdVersion="8" refreshedVersion="8" minRefreshableVersion="3" recordCount="12" xr:uid="{A97924FE-09EF-444C-BD18-DC886D7C0711}">
  <cacheSource type="worksheet">
    <worksheetSource ref="A4:D16" sheet="Pivot Table"/>
  </cacheSource>
  <cacheFields count="4">
    <cacheField name="Bulan" numFmtId="168">
      <sharedItems count="3">
        <s v="Jan"/>
        <s v="Feb"/>
        <s v="Mar"/>
      </sharedItems>
    </cacheField>
    <cacheField name="Motor" numFmtId="168">
      <sharedItems count="3">
        <s v="Honda"/>
        <s v="Yamaha"/>
        <s v="Kawasaki"/>
      </sharedItems>
    </cacheField>
    <cacheField name="Area" numFmtId="168">
      <sharedItems count="3">
        <s v="Jakarta"/>
        <s v="Bandung"/>
        <s v="Surabaya"/>
      </sharedItems>
    </cacheField>
    <cacheField name="Penjualan" numFmtId="168">
      <sharedItems containsSemiMixedTypes="0" containsString="0" containsNumber="1" containsInteger="1" minValue="9000000" maxValue="2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2000000"/>
  </r>
  <r>
    <x v="1"/>
    <x v="1"/>
    <x v="0"/>
    <n v="11000000"/>
  </r>
  <r>
    <x v="1"/>
    <x v="2"/>
    <x v="1"/>
    <n v="15000000"/>
  </r>
  <r>
    <x v="0"/>
    <x v="0"/>
    <x v="2"/>
    <n v="13000000"/>
  </r>
  <r>
    <x v="2"/>
    <x v="1"/>
    <x v="2"/>
    <n v="14000000"/>
  </r>
  <r>
    <x v="2"/>
    <x v="2"/>
    <x v="0"/>
    <n v="17000000"/>
  </r>
  <r>
    <x v="1"/>
    <x v="0"/>
    <x v="1"/>
    <n v="20000000"/>
  </r>
  <r>
    <x v="0"/>
    <x v="1"/>
    <x v="2"/>
    <n v="13000000"/>
  </r>
  <r>
    <x v="2"/>
    <x v="2"/>
    <x v="2"/>
    <n v="14000000"/>
  </r>
  <r>
    <x v="1"/>
    <x v="0"/>
    <x v="2"/>
    <n v="17000000"/>
  </r>
  <r>
    <x v="2"/>
    <x v="1"/>
    <x v="0"/>
    <n v="9000000"/>
  </r>
  <r>
    <x v="2"/>
    <x v="2"/>
    <x v="1"/>
    <n v="115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01B0E5-0B96-4BF9-85F7-A7580D0BD9A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J9" firstHeaderRow="1" firstDataRow="2" firstDataCol="1" rowPageCount="1" colPageCount="1"/>
  <pivotFields count="4">
    <pivotField axis="axisPage" multipleItemSelectionAllowed="1" showAll="0">
      <items count="4">
        <item x="0"/>
        <item x="1"/>
        <item h="1"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numFmtId="168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Penjualan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4760BA-60DB-462C-AD15-E319205D30CC}" name="Table1" displayName="Table1" ref="B2:F17" totalsRowShown="0" headerRowDxfId="9" headerRowBorderDxfId="8" tableBorderDxfId="7" totalsRowBorderDxfId="6" headerRowCellStyle="Normal 2">
  <autoFilter ref="B2:F17" xr:uid="{594760BA-60DB-462C-AD15-E319205D30CC}"/>
  <tableColumns count="5">
    <tableColumn id="1" xr3:uid="{995024B4-AABB-458F-AC02-5CEDC59F201A}" name="Nama" dataDxfId="5" dataCellStyle="Normal 2"/>
    <tableColumn id="2" xr3:uid="{8BBA2771-7CA3-4F1E-B30F-F157C52320C2}" name="Kelahiran" dataDxfId="4" dataCellStyle="Normal 2"/>
    <tableColumn id="3" xr3:uid="{191B5232-52F6-4F5F-B84F-3A9F6CD791D7}" name="Usia" dataDxfId="3" dataCellStyle="Normal 2"/>
    <tableColumn id="4" xr3:uid="{674D3D1B-A519-4E90-81E3-593D7225369B}" name="Pekerjaan" dataDxfId="2" dataCellStyle="Normal 2"/>
    <tableColumn id="5" xr3:uid="{6B81495B-A65C-4E3B-B6B8-7B98AC82832D}" name="Status" dataDxfId="1" dataCellStyle="Normal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70C2-B4B3-4902-9EC8-1DCAD3506BE7}">
  <sheetPr codeName="Sheet1"/>
  <dimension ref="B2:H22"/>
  <sheetViews>
    <sheetView zoomScale="130" zoomScaleNormal="130" workbookViewId="0">
      <selection activeCell="D14" sqref="D14"/>
    </sheetView>
  </sheetViews>
  <sheetFormatPr baseColWidth="10" defaultColWidth="8.83203125" defaultRowHeight="15" x14ac:dyDescent="0.2"/>
  <cols>
    <col min="2" max="2" width="13.1640625" customWidth="1"/>
    <col min="3" max="6" width="15.5" bestFit="1" customWidth="1"/>
    <col min="7" max="7" width="13.6640625" customWidth="1"/>
    <col min="8" max="8" width="15.6640625" customWidth="1"/>
  </cols>
  <sheetData>
    <row r="2" spans="2:8" x14ac:dyDescent="0.2">
      <c r="C2" s="53" t="s">
        <v>13</v>
      </c>
      <c r="D2" s="53" t="s">
        <v>0</v>
      </c>
      <c r="E2" s="53" t="s">
        <v>1</v>
      </c>
      <c r="F2" s="53" t="s">
        <v>2</v>
      </c>
      <c r="G2" s="53" t="s">
        <v>3</v>
      </c>
    </row>
    <row r="3" spans="2:8" x14ac:dyDescent="0.2">
      <c r="C3" s="1" t="s">
        <v>4</v>
      </c>
      <c r="D3" s="3" t="s">
        <v>7</v>
      </c>
      <c r="E3" s="3" t="s">
        <v>8</v>
      </c>
      <c r="F3" s="3" t="s">
        <v>9</v>
      </c>
      <c r="G3" s="3" t="s">
        <v>10</v>
      </c>
    </row>
    <row r="4" spans="2:8" x14ac:dyDescent="0.2">
      <c r="C4" s="1" t="s">
        <v>6</v>
      </c>
      <c r="D4" s="4">
        <v>3500000</v>
      </c>
      <c r="E4" s="4">
        <v>3000000</v>
      </c>
      <c r="F4" s="4">
        <v>2500000</v>
      </c>
      <c r="G4" s="4">
        <v>3250000</v>
      </c>
    </row>
    <row r="5" spans="2:8" x14ac:dyDescent="0.2">
      <c r="C5" s="1" t="s">
        <v>5</v>
      </c>
      <c r="D5" s="5">
        <v>0.15</v>
      </c>
      <c r="E5" s="5">
        <v>0.1</v>
      </c>
      <c r="F5" s="5">
        <v>7.0000000000000007E-2</v>
      </c>
      <c r="G5" s="5">
        <v>0.05</v>
      </c>
    </row>
    <row r="9" spans="2:8" x14ac:dyDescent="0.2">
      <c r="B9" s="70" t="s">
        <v>11</v>
      </c>
      <c r="C9" s="71"/>
      <c r="D9" s="71"/>
      <c r="E9" s="71"/>
      <c r="F9" s="71"/>
      <c r="G9" s="71"/>
      <c r="H9" s="72"/>
    </row>
    <row r="10" spans="2:8" x14ac:dyDescent="0.2">
      <c r="B10" s="70" t="s">
        <v>12</v>
      </c>
      <c r="C10" s="71"/>
      <c r="D10" s="71"/>
      <c r="E10" s="71"/>
      <c r="F10" s="71"/>
      <c r="G10" s="71"/>
      <c r="H10" s="72"/>
    </row>
    <row r="11" spans="2:8" x14ac:dyDescent="0.2">
      <c r="B11" s="73"/>
      <c r="C11" s="74"/>
      <c r="D11" s="74"/>
      <c r="E11" s="74"/>
      <c r="F11" s="74"/>
      <c r="G11" s="74"/>
      <c r="H11" s="75"/>
    </row>
    <row r="12" spans="2:8" x14ac:dyDescent="0.2">
      <c r="B12" s="2" t="s">
        <v>13</v>
      </c>
      <c r="C12" s="2" t="s">
        <v>14</v>
      </c>
      <c r="D12" s="2" t="s">
        <v>15</v>
      </c>
      <c r="E12" s="2" t="s">
        <v>16</v>
      </c>
      <c r="F12" s="2" t="s">
        <v>17</v>
      </c>
      <c r="G12" s="2" t="s">
        <v>18</v>
      </c>
      <c r="H12" s="2" t="s">
        <v>19</v>
      </c>
    </row>
    <row r="13" spans="2:8" x14ac:dyDescent="0.2">
      <c r="B13" s="1" t="s">
        <v>0</v>
      </c>
      <c r="C13" s="1">
        <v>50</v>
      </c>
      <c r="D13" s="1" t="str">
        <f>HLOOKUP(B13,Data,2,0)</f>
        <v>Nokia</v>
      </c>
      <c r="E13" s="8">
        <f>HLOOKUP(B13,$D$2:$G$5,3,0)</f>
        <v>3500000</v>
      </c>
      <c r="F13" s="8">
        <f>C13*E13</f>
        <v>175000000</v>
      </c>
      <c r="G13" s="28">
        <f>HLOOKUP(B13,$D$2:$G$5,4,0)</f>
        <v>0.15</v>
      </c>
      <c r="H13" s="8">
        <f>F13-(F13*G13)</f>
        <v>148750000</v>
      </c>
    </row>
    <row r="14" spans="2:8" x14ac:dyDescent="0.2">
      <c r="B14" s="1" t="s">
        <v>1</v>
      </c>
      <c r="C14" s="1">
        <v>26</v>
      </c>
      <c r="D14" s="1" t="str">
        <f t="shared" ref="D14:D22" si="0">HLOOKUP(B14,$D$2:$G$5,2,0)</f>
        <v>Samsung</v>
      </c>
      <c r="E14" s="8">
        <f t="shared" ref="E14:E22" si="1">HLOOKUP(B14,$D$2:$G$5,3,0)</f>
        <v>3000000</v>
      </c>
      <c r="F14" s="8">
        <f t="shared" ref="F14:F22" si="2">C14*E14</f>
        <v>78000000</v>
      </c>
      <c r="G14" s="28">
        <f t="shared" ref="G14:G22" si="3">HLOOKUP(B14,$D$2:$G$5,4,0)</f>
        <v>0.1</v>
      </c>
      <c r="H14" s="8">
        <f t="shared" ref="H14:H22" si="4">F14-(F14*G14)</f>
        <v>70200000</v>
      </c>
    </row>
    <row r="15" spans="2:8" x14ac:dyDescent="0.2">
      <c r="B15" s="1" t="s">
        <v>2</v>
      </c>
      <c r="C15" s="1">
        <v>36</v>
      </c>
      <c r="D15" s="1" t="str">
        <f t="shared" si="0"/>
        <v>Sony</v>
      </c>
      <c r="E15" s="8">
        <f t="shared" si="1"/>
        <v>2500000</v>
      </c>
      <c r="F15" s="8">
        <f t="shared" si="2"/>
        <v>90000000</v>
      </c>
      <c r="G15" s="28">
        <f t="shared" si="3"/>
        <v>7.0000000000000007E-2</v>
      </c>
      <c r="H15" s="8">
        <f t="shared" si="4"/>
        <v>83700000</v>
      </c>
    </row>
    <row r="16" spans="2:8" x14ac:dyDescent="0.2">
      <c r="B16" s="1" t="s">
        <v>3</v>
      </c>
      <c r="C16" s="1">
        <v>54</v>
      </c>
      <c r="D16" s="1" t="str">
        <f t="shared" si="0"/>
        <v>LG</v>
      </c>
      <c r="E16" s="8">
        <f t="shared" si="1"/>
        <v>3250000</v>
      </c>
      <c r="F16" s="8">
        <f t="shared" si="2"/>
        <v>175500000</v>
      </c>
      <c r="G16" s="28">
        <f t="shared" si="3"/>
        <v>0.05</v>
      </c>
      <c r="H16" s="8">
        <f t="shared" si="4"/>
        <v>166725000</v>
      </c>
    </row>
    <row r="17" spans="2:8" x14ac:dyDescent="0.2">
      <c r="B17" s="1" t="s">
        <v>0</v>
      </c>
      <c r="C17" s="1">
        <v>28</v>
      </c>
      <c r="D17" s="1" t="str">
        <f t="shared" si="0"/>
        <v>Nokia</v>
      </c>
      <c r="E17" s="8">
        <f t="shared" si="1"/>
        <v>3500000</v>
      </c>
      <c r="F17" s="8">
        <f t="shared" si="2"/>
        <v>98000000</v>
      </c>
      <c r="G17" s="28">
        <f t="shared" si="3"/>
        <v>0.15</v>
      </c>
      <c r="H17" s="8">
        <f t="shared" si="4"/>
        <v>83300000</v>
      </c>
    </row>
    <row r="18" spans="2:8" x14ac:dyDescent="0.2">
      <c r="B18" s="1" t="s">
        <v>1</v>
      </c>
      <c r="C18" s="1">
        <v>18</v>
      </c>
      <c r="D18" s="1" t="str">
        <f t="shared" si="0"/>
        <v>Samsung</v>
      </c>
      <c r="E18" s="8">
        <f t="shared" si="1"/>
        <v>3000000</v>
      </c>
      <c r="F18" s="8">
        <f t="shared" si="2"/>
        <v>54000000</v>
      </c>
      <c r="G18" s="28">
        <f t="shared" si="3"/>
        <v>0.1</v>
      </c>
      <c r="H18" s="8">
        <f t="shared" si="4"/>
        <v>48600000</v>
      </c>
    </row>
    <row r="19" spans="2:8" x14ac:dyDescent="0.2">
      <c r="B19" s="1" t="s">
        <v>2</v>
      </c>
      <c r="C19" s="1">
        <v>19</v>
      </c>
      <c r="D19" s="1" t="str">
        <f t="shared" si="0"/>
        <v>Sony</v>
      </c>
      <c r="E19" s="8">
        <f t="shared" si="1"/>
        <v>2500000</v>
      </c>
      <c r="F19" s="8">
        <f t="shared" si="2"/>
        <v>47500000</v>
      </c>
      <c r="G19" s="28">
        <f t="shared" si="3"/>
        <v>7.0000000000000007E-2</v>
      </c>
      <c r="H19" s="8">
        <f t="shared" si="4"/>
        <v>44175000</v>
      </c>
    </row>
    <row r="20" spans="2:8" x14ac:dyDescent="0.2">
      <c r="B20" s="1" t="s">
        <v>3</v>
      </c>
      <c r="C20" s="1">
        <v>47</v>
      </c>
      <c r="D20" s="1" t="str">
        <f t="shared" si="0"/>
        <v>LG</v>
      </c>
      <c r="E20" s="8">
        <f t="shared" si="1"/>
        <v>3250000</v>
      </c>
      <c r="F20" s="8">
        <f t="shared" si="2"/>
        <v>152750000</v>
      </c>
      <c r="G20" s="28">
        <f t="shared" si="3"/>
        <v>0.05</v>
      </c>
      <c r="H20" s="8">
        <f t="shared" si="4"/>
        <v>145112500</v>
      </c>
    </row>
    <row r="21" spans="2:8" x14ac:dyDescent="0.2">
      <c r="B21" s="1" t="s">
        <v>0</v>
      </c>
      <c r="C21" s="1">
        <v>60</v>
      </c>
      <c r="D21" s="1" t="str">
        <f t="shared" si="0"/>
        <v>Nokia</v>
      </c>
      <c r="E21" s="8">
        <f t="shared" si="1"/>
        <v>3500000</v>
      </c>
      <c r="F21" s="8">
        <f t="shared" si="2"/>
        <v>210000000</v>
      </c>
      <c r="G21" s="28">
        <f t="shared" si="3"/>
        <v>0.15</v>
      </c>
      <c r="H21" s="8">
        <f t="shared" si="4"/>
        <v>178500000</v>
      </c>
    </row>
    <row r="22" spans="2:8" x14ac:dyDescent="0.2">
      <c r="B22" s="1" t="s">
        <v>1</v>
      </c>
      <c r="C22" s="1">
        <v>55</v>
      </c>
      <c r="D22" s="1" t="str">
        <f t="shared" si="0"/>
        <v>Samsung</v>
      </c>
      <c r="E22" s="8">
        <f t="shared" si="1"/>
        <v>3000000</v>
      </c>
      <c r="F22" s="8">
        <f t="shared" si="2"/>
        <v>165000000</v>
      </c>
      <c r="G22" s="28">
        <f t="shared" si="3"/>
        <v>0.1</v>
      </c>
      <c r="H22" s="8">
        <f t="shared" si="4"/>
        <v>148500000</v>
      </c>
    </row>
  </sheetData>
  <mergeCells count="3">
    <mergeCell ref="B9:H9"/>
    <mergeCell ref="B10:H10"/>
    <mergeCell ref="B11:H11"/>
  </mergeCells>
  <phoneticPr fontId="1" type="noConversion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805A5-9930-47BF-8BE0-7D186C6B9155}">
  <sheetPr codeName="Sheet2"/>
  <dimension ref="B2:H22"/>
  <sheetViews>
    <sheetView zoomScale="160" zoomScaleNormal="160" workbookViewId="0">
      <selection activeCell="D14" sqref="D14"/>
    </sheetView>
  </sheetViews>
  <sheetFormatPr baseColWidth="10" defaultColWidth="8.83203125" defaultRowHeight="15" x14ac:dyDescent="0.2"/>
  <cols>
    <col min="2" max="2" width="13.1640625" customWidth="1"/>
    <col min="3" max="6" width="15.5" bestFit="1" customWidth="1"/>
    <col min="7" max="7" width="13.6640625" customWidth="1"/>
    <col min="8" max="8" width="15.6640625" customWidth="1"/>
    <col min="10" max="10" width="12.1640625" customWidth="1"/>
    <col min="12" max="12" width="12.83203125" customWidth="1"/>
  </cols>
  <sheetData>
    <row r="2" spans="2:8" x14ac:dyDescent="0.2">
      <c r="C2" s="54"/>
      <c r="D2" s="53" t="s">
        <v>13</v>
      </c>
      <c r="E2" s="1" t="s">
        <v>4</v>
      </c>
      <c r="F2" s="1" t="s">
        <v>6</v>
      </c>
      <c r="G2" s="1" t="s">
        <v>5</v>
      </c>
    </row>
    <row r="3" spans="2:8" x14ac:dyDescent="0.2">
      <c r="D3" s="53" t="s">
        <v>0</v>
      </c>
      <c r="E3" s="3" t="s">
        <v>7</v>
      </c>
      <c r="F3" s="4">
        <v>3500000</v>
      </c>
      <c r="G3" s="5">
        <v>0.15</v>
      </c>
    </row>
    <row r="4" spans="2:8" x14ac:dyDescent="0.2">
      <c r="D4" s="53" t="s">
        <v>1</v>
      </c>
      <c r="E4" s="3" t="s">
        <v>8</v>
      </c>
      <c r="F4" s="4">
        <v>3000000</v>
      </c>
      <c r="G4" s="5">
        <v>0.1</v>
      </c>
    </row>
    <row r="5" spans="2:8" x14ac:dyDescent="0.2">
      <c r="D5" s="53" t="s">
        <v>2</v>
      </c>
      <c r="E5" s="3" t="s">
        <v>9</v>
      </c>
      <c r="F5" s="4">
        <v>2500000</v>
      </c>
      <c r="G5" s="5">
        <v>7.0000000000000007E-2</v>
      </c>
    </row>
    <row r="6" spans="2:8" x14ac:dyDescent="0.2">
      <c r="D6" s="53" t="s">
        <v>3</v>
      </c>
      <c r="E6" s="3" t="s">
        <v>10</v>
      </c>
      <c r="F6" s="4">
        <v>3250000</v>
      </c>
      <c r="G6" s="5">
        <v>0.05</v>
      </c>
    </row>
    <row r="9" spans="2:8" x14ac:dyDescent="0.2">
      <c r="B9" s="70" t="s">
        <v>11</v>
      </c>
      <c r="C9" s="71"/>
      <c r="D9" s="71"/>
      <c r="E9" s="71"/>
      <c r="F9" s="71"/>
      <c r="G9" s="71"/>
      <c r="H9" s="72"/>
    </row>
    <row r="10" spans="2:8" x14ac:dyDescent="0.2">
      <c r="B10" s="70" t="s">
        <v>12</v>
      </c>
      <c r="C10" s="71"/>
      <c r="D10" s="71"/>
      <c r="E10" s="71"/>
      <c r="F10" s="71"/>
      <c r="G10" s="71"/>
      <c r="H10" s="72"/>
    </row>
    <row r="11" spans="2:8" x14ac:dyDescent="0.2">
      <c r="B11" s="73"/>
      <c r="C11" s="74"/>
      <c r="D11" s="74"/>
      <c r="E11" s="74"/>
      <c r="F11" s="74"/>
      <c r="G11" s="74"/>
      <c r="H11" s="75"/>
    </row>
    <row r="12" spans="2:8" x14ac:dyDescent="0.2">
      <c r="B12" s="2" t="s">
        <v>13</v>
      </c>
      <c r="C12" s="2" t="s">
        <v>14</v>
      </c>
      <c r="D12" s="2" t="s">
        <v>15</v>
      </c>
      <c r="E12" s="2" t="s">
        <v>16</v>
      </c>
      <c r="F12" s="2" t="s">
        <v>17</v>
      </c>
      <c r="G12" s="2" t="s">
        <v>18</v>
      </c>
      <c r="H12" s="2" t="s">
        <v>19</v>
      </c>
    </row>
    <row r="13" spans="2:8" x14ac:dyDescent="0.2">
      <c r="B13" s="1" t="s">
        <v>0</v>
      </c>
      <c r="C13" s="1">
        <v>50</v>
      </c>
      <c r="D13" s="1" t="str">
        <f>VLOOKUP(B13,$D$3:$G$6,2)</f>
        <v>Nokia</v>
      </c>
      <c r="E13" s="8">
        <f>VLOOKUP(B13,$D$3:$G$6,3)</f>
        <v>3500000</v>
      </c>
      <c r="F13" s="8">
        <f>C13*E13</f>
        <v>175000000</v>
      </c>
      <c r="G13" s="28">
        <f>VLOOKUP(B13,$D$3:$G$6,4)</f>
        <v>0.15</v>
      </c>
      <c r="H13" s="8">
        <f>F13-(F13*G13)</f>
        <v>148750000</v>
      </c>
    </row>
    <row r="14" spans="2:8" x14ac:dyDescent="0.2">
      <c r="B14" s="1" t="s">
        <v>1</v>
      </c>
      <c r="C14" s="1">
        <v>26</v>
      </c>
      <c r="D14" s="1" t="str">
        <f t="shared" ref="D14:D22" si="0">VLOOKUP(B14,$D$3:$G$6,2)</f>
        <v>Samsung</v>
      </c>
      <c r="E14" s="8">
        <f t="shared" ref="E14:E22" si="1">VLOOKUP(B14,$D$3:$G$6,3)</f>
        <v>3000000</v>
      </c>
      <c r="F14" s="8">
        <f t="shared" ref="F14:F22" si="2">C14*E14</f>
        <v>78000000</v>
      </c>
      <c r="G14" s="28">
        <f t="shared" ref="G14:G22" si="3">VLOOKUP(B14,$D$3:$G$6,4)</f>
        <v>0.1</v>
      </c>
      <c r="H14" s="8">
        <f t="shared" ref="H14:H22" si="4">F14-(F14*G14)</f>
        <v>70200000</v>
      </c>
    </row>
    <row r="15" spans="2:8" x14ac:dyDescent="0.2">
      <c r="B15" s="1" t="s">
        <v>2</v>
      </c>
      <c r="C15" s="1">
        <v>36</v>
      </c>
      <c r="D15" s="1" t="str">
        <f t="shared" si="0"/>
        <v>Sony</v>
      </c>
      <c r="E15" s="8">
        <f t="shared" si="1"/>
        <v>2500000</v>
      </c>
      <c r="F15" s="8">
        <f t="shared" si="2"/>
        <v>90000000</v>
      </c>
      <c r="G15" s="28">
        <f t="shared" si="3"/>
        <v>7.0000000000000007E-2</v>
      </c>
      <c r="H15" s="8">
        <f t="shared" si="4"/>
        <v>83700000</v>
      </c>
    </row>
    <row r="16" spans="2:8" x14ac:dyDescent="0.2">
      <c r="B16" s="1" t="s">
        <v>3</v>
      </c>
      <c r="C16" s="1">
        <v>54</v>
      </c>
      <c r="D16" s="1" t="str">
        <f t="shared" si="0"/>
        <v>LG</v>
      </c>
      <c r="E16" s="8">
        <f t="shared" si="1"/>
        <v>3250000</v>
      </c>
      <c r="F16" s="8">
        <f t="shared" si="2"/>
        <v>175500000</v>
      </c>
      <c r="G16" s="28">
        <f t="shared" si="3"/>
        <v>0.05</v>
      </c>
      <c r="H16" s="8">
        <f t="shared" si="4"/>
        <v>166725000</v>
      </c>
    </row>
    <row r="17" spans="2:8" x14ac:dyDescent="0.2">
      <c r="B17" s="1" t="s">
        <v>0</v>
      </c>
      <c r="C17" s="1">
        <v>28</v>
      </c>
      <c r="D17" s="1" t="str">
        <f t="shared" si="0"/>
        <v>Nokia</v>
      </c>
      <c r="E17" s="8">
        <f t="shared" si="1"/>
        <v>3500000</v>
      </c>
      <c r="F17" s="8">
        <f t="shared" si="2"/>
        <v>98000000</v>
      </c>
      <c r="G17" s="28">
        <f t="shared" si="3"/>
        <v>0.15</v>
      </c>
      <c r="H17" s="8">
        <f t="shared" si="4"/>
        <v>83300000</v>
      </c>
    </row>
    <row r="18" spans="2:8" x14ac:dyDescent="0.2">
      <c r="B18" s="1" t="s">
        <v>1</v>
      </c>
      <c r="C18" s="1">
        <v>18</v>
      </c>
      <c r="D18" s="1" t="str">
        <f t="shared" si="0"/>
        <v>Samsung</v>
      </c>
      <c r="E18" s="8">
        <f t="shared" si="1"/>
        <v>3000000</v>
      </c>
      <c r="F18" s="8">
        <f t="shared" si="2"/>
        <v>54000000</v>
      </c>
      <c r="G18" s="28">
        <f t="shared" si="3"/>
        <v>0.1</v>
      </c>
      <c r="H18" s="8">
        <f t="shared" si="4"/>
        <v>48600000</v>
      </c>
    </row>
    <row r="19" spans="2:8" x14ac:dyDescent="0.2">
      <c r="B19" s="1" t="s">
        <v>2</v>
      </c>
      <c r="C19" s="1">
        <v>19</v>
      </c>
      <c r="D19" s="1" t="str">
        <f t="shared" si="0"/>
        <v>Sony</v>
      </c>
      <c r="E19" s="8">
        <f t="shared" si="1"/>
        <v>2500000</v>
      </c>
      <c r="F19" s="8">
        <f t="shared" si="2"/>
        <v>47500000</v>
      </c>
      <c r="G19" s="28">
        <f t="shared" si="3"/>
        <v>7.0000000000000007E-2</v>
      </c>
      <c r="H19" s="8">
        <f t="shared" si="4"/>
        <v>44175000</v>
      </c>
    </row>
    <row r="20" spans="2:8" x14ac:dyDescent="0.2">
      <c r="B20" s="1" t="s">
        <v>3</v>
      </c>
      <c r="C20" s="1">
        <v>47</v>
      </c>
      <c r="D20" s="1" t="str">
        <f t="shared" si="0"/>
        <v>LG</v>
      </c>
      <c r="E20" s="8">
        <f t="shared" si="1"/>
        <v>3250000</v>
      </c>
      <c r="F20" s="8">
        <f t="shared" si="2"/>
        <v>152750000</v>
      </c>
      <c r="G20" s="28">
        <f t="shared" si="3"/>
        <v>0.05</v>
      </c>
      <c r="H20" s="8">
        <f t="shared" si="4"/>
        <v>145112500</v>
      </c>
    </row>
    <row r="21" spans="2:8" x14ac:dyDescent="0.2">
      <c r="B21" s="1" t="s">
        <v>0</v>
      </c>
      <c r="C21" s="1">
        <v>60</v>
      </c>
      <c r="D21" s="1" t="str">
        <f t="shared" si="0"/>
        <v>Nokia</v>
      </c>
      <c r="E21" s="8">
        <f t="shared" si="1"/>
        <v>3500000</v>
      </c>
      <c r="F21" s="8">
        <f t="shared" si="2"/>
        <v>210000000</v>
      </c>
      <c r="G21" s="28">
        <f t="shared" si="3"/>
        <v>0.15</v>
      </c>
      <c r="H21" s="8">
        <f t="shared" si="4"/>
        <v>178500000</v>
      </c>
    </row>
    <row r="22" spans="2:8" x14ac:dyDescent="0.2">
      <c r="B22" s="1" t="s">
        <v>1</v>
      </c>
      <c r="C22" s="1">
        <v>55</v>
      </c>
      <c r="D22" s="1" t="str">
        <f t="shared" si="0"/>
        <v>Samsung</v>
      </c>
      <c r="E22" s="8">
        <f t="shared" si="1"/>
        <v>3000000</v>
      </c>
      <c r="F22" s="8">
        <f t="shared" si="2"/>
        <v>165000000</v>
      </c>
      <c r="G22" s="28">
        <f t="shared" si="3"/>
        <v>0.1</v>
      </c>
      <c r="H22" s="8">
        <f t="shared" si="4"/>
        <v>148500000</v>
      </c>
    </row>
  </sheetData>
  <mergeCells count="3">
    <mergeCell ref="B9:H9"/>
    <mergeCell ref="B10:H10"/>
    <mergeCell ref="B11:H11"/>
  </mergeCells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39D0F-1CA7-4D43-BC6D-B41D49864BD9}">
  <sheetPr codeName="Sheet3"/>
  <dimension ref="B2:S40"/>
  <sheetViews>
    <sheetView zoomScale="145" zoomScaleNormal="145" workbookViewId="0"/>
  </sheetViews>
  <sheetFormatPr baseColWidth="10" defaultColWidth="8.83203125" defaultRowHeight="15" x14ac:dyDescent="0.2"/>
  <cols>
    <col min="1" max="1" width="2.6640625" customWidth="1"/>
    <col min="3" max="3" width="13.1640625" customWidth="1"/>
    <col min="5" max="5" width="10.6640625" customWidth="1"/>
    <col min="7" max="7" width="3.1640625" customWidth="1"/>
    <col min="8" max="8" width="3" customWidth="1"/>
    <col min="9" max="9" width="17" customWidth="1"/>
  </cols>
  <sheetData>
    <row r="2" spans="2:19" x14ac:dyDescent="0.2">
      <c r="B2" s="57" t="s">
        <v>4</v>
      </c>
      <c r="C2" s="58" t="s">
        <v>76</v>
      </c>
      <c r="D2" s="58" t="s">
        <v>77</v>
      </c>
      <c r="E2" s="58" t="s">
        <v>78</v>
      </c>
      <c r="F2" s="59" t="s">
        <v>79</v>
      </c>
      <c r="G2" s="30"/>
      <c r="H2" s="30"/>
      <c r="I2" s="30" t="s">
        <v>80</v>
      </c>
      <c r="J2" s="30"/>
      <c r="K2" s="30"/>
      <c r="L2" s="30"/>
      <c r="M2" s="30"/>
      <c r="N2" s="30"/>
      <c r="O2" s="30"/>
      <c r="P2" s="30"/>
      <c r="Q2" s="30"/>
      <c r="R2" s="30"/>
      <c r="S2" s="30"/>
    </row>
    <row r="3" spans="2:19" x14ac:dyDescent="0.2">
      <c r="B3" s="55" t="s">
        <v>81</v>
      </c>
      <c r="C3" s="45">
        <v>33301</v>
      </c>
      <c r="D3" s="46">
        <v>29</v>
      </c>
      <c r="E3" s="39" t="s">
        <v>82</v>
      </c>
      <c r="F3" s="56" t="s">
        <v>83</v>
      </c>
      <c r="G3" s="30"/>
      <c r="H3" s="30"/>
      <c r="I3" s="30" t="s">
        <v>84</v>
      </c>
      <c r="J3" s="42"/>
      <c r="K3" s="30"/>
      <c r="L3" s="30"/>
      <c r="M3" s="30"/>
      <c r="N3" s="30"/>
      <c r="O3" s="30"/>
      <c r="P3" s="30"/>
      <c r="Q3" s="30"/>
      <c r="R3" s="30"/>
      <c r="S3" s="30"/>
    </row>
    <row r="4" spans="2:19" x14ac:dyDescent="0.2">
      <c r="B4" s="55" t="s">
        <v>85</v>
      </c>
      <c r="C4" s="45" t="s">
        <v>86</v>
      </c>
      <c r="D4" s="47">
        <v>34</v>
      </c>
      <c r="E4" s="39" t="s">
        <v>82</v>
      </c>
      <c r="F4" s="56" t="s">
        <v>83</v>
      </c>
      <c r="G4" s="30"/>
      <c r="H4" s="30"/>
      <c r="I4" s="30" t="s">
        <v>87</v>
      </c>
      <c r="J4" s="43"/>
      <c r="K4" s="30"/>
      <c r="L4" s="30"/>
      <c r="M4" s="30"/>
      <c r="N4" s="30"/>
      <c r="O4" s="30"/>
      <c r="P4" s="30"/>
      <c r="Q4" s="30"/>
      <c r="R4" s="30"/>
      <c r="S4" s="30"/>
    </row>
    <row r="5" spans="2:19" x14ac:dyDescent="0.2">
      <c r="B5" s="55" t="s">
        <v>88</v>
      </c>
      <c r="C5" s="45">
        <v>35098</v>
      </c>
      <c r="D5" s="49">
        <v>23</v>
      </c>
      <c r="E5" s="39" t="s">
        <v>89</v>
      </c>
      <c r="F5" s="56" t="s">
        <v>90</v>
      </c>
      <c r="G5" s="30"/>
      <c r="H5" s="30"/>
      <c r="I5" s="30" t="s">
        <v>91</v>
      </c>
      <c r="J5" s="44"/>
      <c r="K5" s="30"/>
      <c r="L5" s="30"/>
      <c r="M5" s="30"/>
      <c r="N5" s="30"/>
      <c r="O5" s="30"/>
      <c r="P5" s="30"/>
      <c r="Q5" s="30"/>
      <c r="R5" s="30"/>
      <c r="S5" s="30"/>
    </row>
    <row r="6" spans="2:19" x14ac:dyDescent="0.2">
      <c r="B6" s="55" t="s">
        <v>92</v>
      </c>
      <c r="C6" s="45" t="s">
        <v>93</v>
      </c>
      <c r="D6" s="46">
        <v>27</v>
      </c>
      <c r="E6" s="39" t="s">
        <v>94</v>
      </c>
      <c r="F6" s="56" t="s">
        <v>83</v>
      </c>
      <c r="G6" s="30"/>
      <c r="H6" s="30"/>
      <c r="I6" s="30" t="s">
        <v>95</v>
      </c>
      <c r="J6" s="41"/>
      <c r="K6" s="30"/>
      <c r="L6" s="30"/>
      <c r="M6" s="30"/>
      <c r="N6" s="30"/>
      <c r="O6" s="30"/>
      <c r="P6" s="30"/>
      <c r="Q6" s="30"/>
      <c r="R6" s="30"/>
      <c r="S6" s="30"/>
    </row>
    <row r="7" spans="2:19" x14ac:dyDescent="0.2">
      <c r="B7" s="55" t="s">
        <v>96</v>
      </c>
      <c r="C7" s="45" t="s">
        <v>97</v>
      </c>
      <c r="D7" s="49">
        <v>21</v>
      </c>
      <c r="E7" s="39" t="s">
        <v>82</v>
      </c>
      <c r="F7" s="56" t="s">
        <v>83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</row>
    <row r="8" spans="2:19" x14ac:dyDescent="0.2">
      <c r="B8" s="55" t="s">
        <v>98</v>
      </c>
      <c r="C8" s="45">
        <v>36658</v>
      </c>
      <c r="D8" s="49">
        <v>20</v>
      </c>
      <c r="E8" s="39" t="s">
        <v>99</v>
      </c>
      <c r="F8" s="56" t="s">
        <v>90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</row>
    <row r="9" spans="2:19" x14ac:dyDescent="0.2">
      <c r="B9" s="55" t="s">
        <v>100</v>
      </c>
      <c r="C9" s="45">
        <v>36323</v>
      </c>
      <c r="D9" s="49">
        <v>21</v>
      </c>
      <c r="E9" s="39" t="s">
        <v>101</v>
      </c>
      <c r="F9" s="56" t="s">
        <v>83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</row>
    <row r="10" spans="2:19" x14ac:dyDescent="0.2">
      <c r="B10" s="55" t="s">
        <v>102</v>
      </c>
      <c r="C10" s="45">
        <v>37349</v>
      </c>
      <c r="D10" s="48">
        <v>18</v>
      </c>
      <c r="E10" s="39" t="s">
        <v>101</v>
      </c>
      <c r="F10" s="56" t="s">
        <v>83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</row>
    <row r="11" spans="2:19" x14ac:dyDescent="0.2">
      <c r="B11" s="55" t="s">
        <v>103</v>
      </c>
      <c r="C11" s="45" t="s">
        <v>104</v>
      </c>
      <c r="D11" s="48">
        <v>19</v>
      </c>
      <c r="E11" s="39" t="s">
        <v>89</v>
      </c>
      <c r="F11" s="56" t="s">
        <v>83</v>
      </c>
      <c r="G11" s="30"/>
      <c r="H11" s="30"/>
      <c r="I11" s="30"/>
      <c r="J11" s="30"/>
      <c r="K11" s="30"/>
      <c r="L11" s="30"/>
      <c r="M11" s="30"/>
      <c r="N11" s="30"/>
    </row>
    <row r="12" spans="2:19" x14ac:dyDescent="0.2">
      <c r="B12" s="55" t="s">
        <v>105</v>
      </c>
      <c r="C12" s="45" t="s">
        <v>106</v>
      </c>
      <c r="D12" s="48">
        <v>19</v>
      </c>
      <c r="E12" s="39" t="s">
        <v>89</v>
      </c>
      <c r="F12" s="56" t="s">
        <v>83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</row>
    <row r="13" spans="2:19" x14ac:dyDescent="0.2">
      <c r="B13" s="55" t="s">
        <v>107</v>
      </c>
      <c r="C13" s="45" t="s">
        <v>108</v>
      </c>
      <c r="D13" s="46">
        <v>28</v>
      </c>
      <c r="E13" s="39" t="s">
        <v>109</v>
      </c>
      <c r="F13" s="56" t="s">
        <v>90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</row>
    <row r="14" spans="2:19" x14ac:dyDescent="0.2">
      <c r="B14" s="55" t="s">
        <v>110</v>
      </c>
      <c r="C14" s="45">
        <v>34670</v>
      </c>
      <c r="D14" s="46">
        <v>26</v>
      </c>
      <c r="E14" s="39" t="s">
        <v>111</v>
      </c>
      <c r="F14" s="56" t="s">
        <v>83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</row>
    <row r="15" spans="2:19" x14ac:dyDescent="0.2">
      <c r="B15" s="55" t="s">
        <v>112</v>
      </c>
      <c r="C15" s="45">
        <v>34335</v>
      </c>
      <c r="D15" s="46">
        <v>26</v>
      </c>
      <c r="E15" s="39" t="s">
        <v>113</v>
      </c>
      <c r="F15" s="56" t="s">
        <v>90</v>
      </c>
      <c r="G15" s="30"/>
      <c r="H15" s="30"/>
      <c r="I15" s="30"/>
      <c r="J15" s="30"/>
      <c r="K15" s="76"/>
      <c r="L15" s="30"/>
      <c r="M15" s="30"/>
      <c r="N15" s="30"/>
      <c r="O15" s="30"/>
      <c r="P15" s="30"/>
      <c r="Q15" s="30"/>
      <c r="R15" s="30"/>
      <c r="S15" s="30"/>
    </row>
    <row r="16" spans="2:19" x14ac:dyDescent="0.2">
      <c r="B16" s="55" t="s">
        <v>114</v>
      </c>
      <c r="C16" s="45" t="s">
        <v>115</v>
      </c>
      <c r="D16" s="47">
        <v>31</v>
      </c>
      <c r="E16" s="39" t="s">
        <v>99</v>
      </c>
      <c r="F16" s="56" t="s">
        <v>90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</row>
    <row r="17" spans="2:19" x14ac:dyDescent="0.2">
      <c r="B17" s="60" t="s">
        <v>116</v>
      </c>
      <c r="C17" s="61">
        <v>35099</v>
      </c>
      <c r="D17" s="62">
        <v>24</v>
      </c>
      <c r="E17" s="63" t="s">
        <v>111</v>
      </c>
      <c r="F17" s="64" t="s">
        <v>83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</row>
    <row r="18" spans="2:19" x14ac:dyDescent="0.2"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</row>
    <row r="19" spans="2:19" x14ac:dyDescent="0.2"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</row>
    <row r="32" spans="2:19" x14ac:dyDescent="0.2">
      <c r="F32" s="30" t="s">
        <v>80</v>
      </c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spans="6:17" x14ac:dyDescent="0.2">
      <c r="F33" s="30" t="s">
        <v>84</v>
      </c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</row>
    <row r="34" spans="6:17" x14ac:dyDescent="0.2">
      <c r="F34" s="30" t="s">
        <v>87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</row>
    <row r="35" spans="6:17" x14ac:dyDescent="0.2">
      <c r="F35" s="30" t="s">
        <v>91</v>
      </c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spans="6:17" x14ac:dyDescent="0.2">
      <c r="F36" s="30" t="s">
        <v>95</v>
      </c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40" spans="6:17" x14ac:dyDescent="0.2"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 t="s">
        <v>29</v>
      </c>
    </row>
  </sheetData>
  <conditionalFormatting sqref="E3:E17">
    <cfRule type="cellIs" dxfId="0" priority="1" operator="equal">
      <formula>"Petani"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4858E-59C4-41D7-824C-A00E7AA8A989}">
  <sheetPr codeName="Sheet4"/>
  <dimension ref="C2:E15"/>
  <sheetViews>
    <sheetView zoomScale="120" zoomScaleNormal="120" workbookViewId="0">
      <selection activeCell="P10" sqref="P10"/>
    </sheetView>
  </sheetViews>
  <sheetFormatPr baseColWidth="10" defaultColWidth="8.83203125" defaultRowHeight="15" x14ac:dyDescent="0.2"/>
  <cols>
    <col min="4" max="4" width="14.83203125" customWidth="1"/>
    <col min="5" max="5" width="13.83203125" bestFit="1" customWidth="1"/>
  </cols>
  <sheetData>
    <row r="2" spans="3:5" x14ac:dyDescent="0.2">
      <c r="C2" s="40" t="s">
        <v>117</v>
      </c>
      <c r="D2" s="52" t="s">
        <v>21</v>
      </c>
      <c r="E2" s="52" t="s">
        <v>22</v>
      </c>
    </row>
    <row r="3" spans="3:5" x14ac:dyDescent="0.2">
      <c r="C3" s="51">
        <v>1</v>
      </c>
      <c r="D3" s="51" t="s">
        <v>118</v>
      </c>
      <c r="E3" s="51">
        <v>50</v>
      </c>
    </row>
    <row r="4" spans="3:5" x14ac:dyDescent="0.2">
      <c r="C4" s="51">
        <v>2</v>
      </c>
      <c r="D4" s="51" t="s">
        <v>24</v>
      </c>
      <c r="E4" s="51">
        <v>65</v>
      </c>
    </row>
    <row r="5" spans="3:5" x14ac:dyDescent="0.2">
      <c r="C5" s="51">
        <v>3</v>
      </c>
      <c r="D5" s="51" t="s">
        <v>25</v>
      </c>
      <c r="E5" s="51">
        <v>72</v>
      </c>
    </row>
    <row r="6" spans="3:5" x14ac:dyDescent="0.2">
      <c r="C6" s="51">
        <v>4</v>
      </c>
      <c r="D6" s="51" t="s">
        <v>26</v>
      </c>
      <c r="E6" s="51">
        <v>100</v>
      </c>
    </row>
    <row r="7" spans="3:5" x14ac:dyDescent="0.2">
      <c r="C7" s="51">
        <v>5</v>
      </c>
      <c r="D7" s="51" t="s">
        <v>27</v>
      </c>
      <c r="E7" s="51">
        <v>18</v>
      </c>
    </row>
    <row r="8" spans="3:5" x14ac:dyDescent="0.2">
      <c r="C8" s="51">
        <v>6</v>
      </c>
      <c r="D8" s="51" t="s">
        <v>119</v>
      </c>
      <c r="E8" s="51">
        <v>98</v>
      </c>
    </row>
    <row r="9" spans="3:5" x14ac:dyDescent="0.2">
      <c r="C9" s="51">
        <v>7</v>
      </c>
      <c r="D9" s="50" t="s">
        <v>120</v>
      </c>
      <c r="E9" s="51">
        <v>87</v>
      </c>
    </row>
    <row r="10" spans="3:5" x14ac:dyDescent="0.2">
      <c r="C10" s="51">
        <v>8</v>
      </c>
      <c r="D10" s="51" t="s">
        <v>121</v>
      </c>
      <c r="E10" s="51">
        <v>12</v>
      </c>
    </row>
    <row r="11" spans="3:5" x14ac:dyDescent="0.2">
      <c r="C11" s="51">
        <v>9</v>
      </c>
      <c r="D11" s="51" t="s">
        <v>122</v>
      </c>
      <c r="E11" s="51">
        <v>12</v>
      </c>
    </row>
    <row r="12" spans="3:5" x14ac:dyDescent="0.2">
      <c r="C12" s="51">
        <v>10</v>
      </c>
      <c r="D12" s="51" t="s">
        <v>123</v>
      </c>
      <c r="E12" s="51">
        <v>72</v>
      </c>
    </row>
    <row r="13" spans="3:5" x14ac:dyDescent="0.2">
      <c r="C13" s="51">
        <v>11</v>
      </c>
      <c r="D13" s="51" t="s">
        <v>124</v>
      </c>
      <c r="E13" s="51">
        <v>63</v>
      </c>
    </row>
    <row r="14" spans="3:5" x14ac:dyDescent="0.2">
      <c r="C14" s="51">
        <v>12</v>
      </c>
      <c r="D14" s="51" t="s">
        <v>125</v>
      </c>
      <c r="E14" s="51">
        <v>90</v>
      </c>
    </row>
    <row r="15" spans="3:5" x14ac:dyDescent="0.2">
      <c r="C15" s="51">
        <v>13</v>
      </c>
      <c r="D15" s="51" t="s">
        <v>126</v>
      </c>
      <c r="E15" s="51">
        <v>24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7C8A-7DDD-4E11-93D2-176A838DD297}">
  <sheetPr codeName="Sheet5"/>
  <dimension ref="B2:G9"/>
  <sheetViews>
    <sheetView workbookViewId="0">
      <selection activeCell="G16" sqref="G16"/>
    </sheetView>
  </sheetViews>
  <sheetFormatPr baseColWidth="10" defaultColWidth="8.83203125" defaultRowHeight="15" x14ac:dyDescent="0.2"/>
  <cols>
    <col min="2" max="2" width="5.83203125" customWidth="1"/>
    <col min="3" max="3" width="16.5" bestFit="1" customWidth="1"/>
    <col min="4" max="4" width="18.5" bestFit="1" customWidth="1"/>
    <col min="5" max="5" width="10.5" bestFit="1" customWidth="1"/>
  </cols>
  <sheetData>
    <row r="2" spans="2:7" ht="16" x14ac:dyDescent="0.2">
      <c r="B2" s="33" t="s">
        <v>20</v>
      </c>
      <c r="C2" s="33" t="s">
        <v>21</v>
      </c>
      <c r="D2" s="34" t="s">
        <v>22</v>
      </c>
      <c r="E2" s="33" t="s">
        <v>70</v>
      </c>
      <c r="F2" s="33" t="s">
        <v>127</v>
      </c>
      <c r="G2" s="33" t="s">
        <v>128</v>
      </c>
    </row>
    <row r="3" spans="2:7" ht="16" x14ac:dyDescent="0.2">
      <c r="B3" s="21">
        <v>1</v>
      </c>
      <c r="C3" s="22" t="s">
        <v>23</v>
      </c>
      <c r="D3" s="29">
        <v>50</v>
      </c>
      <c r="E3" s="1">
        <f>D3*2</f>
        <v>100</v>
      </c>
      <c r="F3" s="1">
        <f>D3*100</f>
        <v>5000</v>
      </c>
      <c r="G3" s="1">
        <v>1</v>
      </c>
    </row>
    <row r="4" spans="2:7" ht="16" x14ac:dyDescent="0.2">
      <c r="B4" s="21">
        <v>2</v>
      </c>
      <c r="C4" s="22" t="s">
        <v>24</v>
      </c>
      <c r="D4" s="29">
        <v>65</v>
      </c>
      <c r="E4" s="1">
        <f t="shared" ref="E4:E8" si="0">D4*2</f>
        <v>130</v>
      </c>
      <c r="F4" s="1">
        <f t="shared" ref="F4:F8" si="1">D4*100</f>
        <v>6500</v>
      </c>
      <c r="G4" s="1">
        <v>2</v>
      </c>
    </row>
    <row r="5" spans="2:7" ht="16" x14ac:dyDescent="0.2">
      <c r="B5" s="21">
        <v>3</v>
      </c>
      <c r="C5" s="22" t="s">
        <v>25</v>
      </c>
      <c r="D5" s="29">
        <v>72</v>
      </c>
      <c r="E5" s="1">
        <f t="shared" si="0"/>
        <v>144</v>
      </c>
      <c r="F5" s="1">
        <f t="shared" si="1"/>
        <v>7200</v>
      </c>
      <c r="G5" s="1">
        <v>3</v>
      </c>
    </row>
    <row r="6" spans="2:7" ht="16" x14ac:dyDescent="0.2">
      <c r="B6" s="21">
        <v>4</v>
      </c>
      <c r="C6" s="22" t="s">
        <v>26</v>
      </c>
      <c r="D6" s="29">
        <v>100</v>
      </c>
      <c r="E6" s="1">
        <f t="shared" si="0"/>
        <v>200</v>
      </c>
      <c r="F6" s="1">
        <f t="shared" si="1"/>
        <v>10000</v>
      </c>
      <c r="G6" s="1">
        <v>4</v>
      </c>
    </row>
    <row r="7" spans="2:7" ht="16" x14ac:dyDescent="0.2">
      <c r="B7" s="21">
        <v>5</v>
      </c>
      <c r="C7" s="22" t="s">
        <v>27</v>
      </c>
      <c r="D7" s="65">
        <v>18</v>
      </c>
      <c r="E7" s="1">
        <f t="shared" si="0"/>
        <v>36</v>
      </c>
      <c r="F7" s="1">
        <f t="shared" si="1"/>
        <v>1800</v>
      </c>
      <c r="G7" s="1">
        <v>5</v>
      </c>
    </row>
    <row r="8" spans="2:7" ht="16" x14ac:dyDescent="0.2">
      <c r="B8" s="21">
        <v>6</v>
      </c>
      <c r="C8" s="22" t="s">
        <v>28</v>
      </c>
      <c r="D8" s="29">
        <v>98</v>
      </c>
      <c r="E8" s="1">
        <f t="shared" si="0"/>
        <v>196</v>
      </c>
      <c r="F8" s="1">
        <f t="shared" si="1"/>
        <v>9800</v>
      </c>
      <c r="G8" s="1">
        <v>6</v>
      </c>
    </row>
    <row r="9" spans="2:7" ht="16" x14ac:dyDescent="0.2">
      <c r="C9" s="19" t="s">
        <v>19</v>
      </c>
      <c r="D9" s="20">
        <f>SUM(D3:D8)</f>
        <v>403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F39B-2851-4249-A986-66981E68B084}">
  <sheetPr codeName="Sheet6"/>
  <dimension ref="B5:G12"/>
  <sheetViews>
    <sheetView workbookViewId="0">
      <selection activeCell="G4" sqref="G4"/>
    </sheetView>
  </sheetViews>
  <sheetFormatPr baseColWidth="10" defaultColWidth="8.83203125" defaultRowHeight="15" x14ac:dyDescent="0.2"/>
  <cols>
    <col min="2" max="2" width="5.83203125" customWidth="1"/>
    <col min="3" max="3" width="16.5" bestFit="1" customWidth="1"/>
    <col min="4" max="4" width="18.5" bestFit="1" customWidth="1"/>
    <col min="5" max="5" width="10.5" bestFit="1" customWidth="1"/>
  </cols>
  <sheetData>
    <row r="5" spans="2:7" ht="16" x14ac:dyDescent="0.2">
      <c r="B5" s="36" t="s">
        <v>20</v>
      </c>
      <c r="C5" s="36" t="s">
        <v>21</v>
      </c>
      <c r="D5" s="37" t="s">
        <v>22</v>
      </c>
      <c r="E5" s="36" t="s">
        <v>70</v>
      </c>
      <c r="F5" s="67" t="s">
        <v>127</v>
      </c>
    </row>
    <row r="6" spans="2:7" ht="16" x14ac:dyDescent="0.2">
      <c r="B6" s="21">
        <v>1</v>
      </c>
      <c r="C6" s="22" t="s">
        <v>23</v>
      </c>
      <c r="D6" s="29">
        <v>50</v>
      </c>
      <c r="E6" s="66">
        <f>D6*2</f>
        <v>100</v>
      </c>
      <c r="F6" s="1">
        <f>D6*100</f>
        <v>5000</v>
      </c>
    </row>
    <row r="7" spans="2:7" ht="16" x14ac:dyDescent="0.2">
      <c r="B7" s="21">
        <v>2</v>
      </c>
      <c r="C7" s="22" t="s">
        <v>24</v>
      </c>
      <c r="D7" s="29">
        <v>65</v>
      </c>
      <c r="E7" s="66">
        <f t="shared" ref="E7:E11" si="0">D7*2</f>
        <v>130</v>
      </c>
      <c r="F7" s="1">
        <f t="shared" ref="F7:F11" si="1">D7*100</f>
        <v>6500</v>
      </c>
    </row>
    <row r="8" spans="2:7" ht="16" x14ac:dyDescent="0.2">
      <c r="B8" s="21">
        <v>3</v>
      </c>
      <c r="C8" s="22" t="s">
        <v>25</v>
      </c>
      <c r="D8" s="29">
        <v>72</v>
      </c>
      <c r="E8" s="66">
        <f t="shared" si="0"/>
        <v>144</v>
      </c>
      <c r="F8" s="1">
        <f t="shared" si="1"/>
        <v>7200</v>
      </c>
      <c r="G8" t="s">
        <v>29</v>
      </c>
    </row>
    <row r="9" spans="2:7" ht="16" x14ac:dyDescent="0.2">
      <c r="B9" s="21">
        <v>4</v>
      </c>
      <c r="C9" s="22" t="s">
        <v>26</v>
      </c>
      <c r="D9" s="29">
        <v>100</v>
      </c>
      <c r="E9" s="66">
        <f t="shared" si="0"/>
        <v>200</v>
      </c>
      <c r="F9" s="1">
        <f t="shared" si="1"/>
        <v>10000</v>
      </c>
    </row>
    <row r="10" spans="2:7" ht="16" x14ac:dyDescent="0.2">
      <c r="B10" s="21">
        <v>5</v>
      </c>
      <c r="C10" s="22" t="s">
        <v>27</v>
      </c>
      <c r="D10" s="65">
        <v>18</v>
      </c>
      <c r="E10" s="66">
        <f t="shared" si="0"/>
        <v>36</v>
      </c>
      <c r="F10" s="1">
        <f t="shared" si="1"/>
        <v>1800</v>
      </c>
    </row>
    <row r="11" spans="2:7" ht="16" x14ac:dyDescent="0.2">
      <c r="B11" s="21">
        <v>6</v>
      </c>
      <c r="C11" s="22" t="s">
        <v>28</v>
      </c>
      <c r="D11" s="29">
        <v>98</v>
      </c>
      <c r="E11" s="66">
        <f t="shared" si="0"/>
        <v>196</v>
      </c>
      <c r="F11" s="1">
        <f t="shared" si="1"/>
        <v>9800</v>
      </c>
    </row>
    <row r="12" spans="2:7" ht="16" x14ac:dyDescent="0.2">
      <c r="C12" s="19" t="s">
        <v>19</v>
      </c>
      <c r="D12" s="35">
        <f>SUM(D6:D11)</f>
        <v>403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A80D-F533-417A-909C-D9973EF3A27D}">
  <sheetPr codeName="Sheet7"/>
  <dimension ref="B3:F10"/>
  <sheetViews>
    <sheetView topLeftCell="B1" zoomScale="145" zoomScaleNormal="145" workbookViewId="0">
      <selection activeCell="C3" sqref="C3"/>
    </sheetView>
  </sheetViews>
  <sheetFormatPr baseColWidth="10" defaultColWidth="8.83203125" defaultRowHeight="15" x14ac:dyDescent="0.2"/>
  <cols>
    <col min="2" max="2" width="17.6640625" bestFit="1" customWidth="1"/>
    <col min="3" max="3" width="19.5" customWidth="1"/>
  </cols>
  <sheetData>
    <row r="3" spans="2:6" x14ac:dyDescent="0.2">
      <c r="B3" s="1" t="s">
        <v>71</v>
      </c>
      <c r="C3" s="7">
        <v>2142.8571428571427</v>
      </c>
      <c r="F3" t="s">
        <v>30</v>
      </c>
    </row>
    <row r="4" spans="2:6" x14ac:dyDescent="0.2">
      <c r="B4" s="1" t="s">
        <v>72</v>
      </c>
      <c r="C4" s="8">
        <v>20000</v>
      </c>
      <c r="F4" t="s">
        <v>31</v>
      </c>
    </row>
    <row r="5" spans="2:6" x14ac:dyDescent="0.2">
      <c r="B5" s="1" t="s">
        <v>32</v>
      </c>
      <c r="C5" s="23">
        <f>C4*C3</f>
        <v>42857142.857142851</v>
      </c>
    </row>
    <row r="7" spans="2:6" x14ac:dyDescent="0.2">
      <c r="B7" s="1" t="s">
        <v>73</v>
      </c>
      <c r="C7" s="8">
        <v>13000</v>
      </c>
    </row>
    <row r="8" spans="2:6" x14ac:dyDescent="0.2">
      <c r="B8" s="1" t="s">
        <v>33</v>
      </c>
      <c r="C8" s="8">
        <f>C7*C3</f>
        <v>27857142.857142854</v>
      </c>
    </row>
    <row r="10" spans="2:6" x14ac:dyDescent="0.2">
      <c r="B10" s="6" t="s">
        <v>34</v>
      </c>
      <c r="C10" s="24">
        <f>C5-C8</f>
        <v>14999999.999999996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314B0-B92B-4BD3-AF4E-4C4F0B1D45B7}">
  <sheetPr codeName="Sheet8"/>
  <dimension ref="B2:H18"/>
  <sheetViews>
    <sheetView tabSelected="1" topLeftCell="B1" zoomScale="130" zoomScaleNormal="130" workbookViewId="0">
      <selection activeCell="E6" sqref="E6"/>
    </sheetView>
  </sheetViews>
  <sheetFormatPr baseColWidth="10" defaultColWidth="8.83203125" defaultRowHeight="15" x14ac:dyDescent="0.2"/>
  <cols>
    <col min="2" max="2" width="25" customWidth="1"/>
    <col min="3" max="3" width="11.83203125" customWidth="1"/>
    <col min="4" max="4" width="18.1640625" customWidth="1"/>
    <col min="5" max="5" width="16.1640625" customWidth="1"/>
    <col min="6" max="6" width="20.5" customWidth="1"/>
    <col min="7" max="8" width="17.5" customWidth="1"/>
  </cols>
  <sheetData>
    <row r="2" spans="2:8" ht="16" thickBot="1" x14ac:dyDescent="0.25"/>
    <row r="3" spans="2:8" ht="33" thickBot="1" x14ac:dyDescent="0.25">
      <c r="B3" s="9" t="s">
        <v>35</v>
      </c>
      <c r="C3" s="10" t="s">
        <v>36</v>
      </c>
      <c r="D3" s="10" t="s">
        <v>37</v>
      </c>
      <c r="E3" s="10" t="s">
        <v>38</v>
      </c>
      <c r="F3" s="10" t="s">
        <v>39</v>
      </c>
      <c r="G3" s="10" t="s">
        <v>33</v>
      </c>
      <c r="H3" s="10" t="s">
        <v>40</v>
      </c>
    </row>
    <row r="4" spans="2:8" ht="17" thickBot="1" x14ac:dyDescent="0.25">
      <c r="B4" s="11" t="s">
        <v>41</v>
      </c>
      <c r="C4" s="12">
        <v>100</v>
      </c>
      <c r="D4" s="13">
        <v>100</v>
      </c>
      <c r="E4" s="13">
        <v>8000</v>
      </c>
      <c r="F4" s="13">
        <v>6000</v>
      </c>
      <c r="G4" s="13">
        <f>E4*C4</f>
        <v>800000</v>
      </c>
      <c r="H4" s="13">
        <f>F4*C4</f>
        <v>600000</v>
      </c>
    </row>
    <row r="5" spans="2:8" ht="17" thickBot="1" x14ac:dyDescent="0.25">
      <c r="B5" s="11" t="s">
        <v>42</v>
      </c>
      <c r="C5" s="12">
        <v>45</v>
      </c>
      <c r="D5" s="13">
        <v>80</v>
      </c>
      <c r="E5" s="13">
        <v>5000</v>
      </c>
      <c r="F5" s="13">
        <v>5000</v>
      </c>
      <c r="G5" s="13">
        <f t="shared" ref="G5:G8" si="0">E5*C5</f>
        <v>225000</v>
      </c>
      <c r="H5" s="13">
        <f t="shared" ref="H5:H8" si="1">F5*C5</f>
        <v>225000</v>
      </c>
    </row>
    <row r="6" spans="2:8" ht="17" thickBot="1" x14ac:dyDescent="0.25">
      <c r="B6" s="11" t="s">
        <v>43</v>
      </c>
      <c r="C6" s="12">
        <v>25</v>
      </c>
      <c r="D6" s="13">
        <v>25</v>
      </c>
      <c r="E6" s="13">
        <v>9000</v>
      </c>
      <c r="F6" s="13">
        <v>9000</v>
      </c>
      <c r="G6" s="13">
        <f t="shared" si="0"/>
        <v>225000</v>
      </c>
      <c r="H6" s="13">
        <f t="shared" si="1"/>
        <v>225000</v>
      </c>
    </row>
    <row r="7" spans="2:8" ht="17" thickBot="1" x14ac:dyDescent="0.25">
      <c r="B7" s="11" t="s">
        <v>44</v>
      </c>
      <c r="C7" s="12">
        <v>0</v>
      </c>
      <c r="D7" s="13">
        <v>90</v>
      </c>
      <c r="E7" s="13">
        <v>12000</v>
      </c>
      <c r="F7" s="13">
        <v>4000</v>
      </c>
      <c r="G7" s="13">
        <f t="shared" si="0"/>
        <v>0</v>
      </c>
      <c r="H7" s="13">
        <f t="shared" si="1"/>
        <v>0</v>
      </c>
    </row>
    <row r="8" spans="2:8" ht="17" thickBot="1" x14ac:dyDescent="0.25">
      <c r="B8" s="11" t="s">
        <v>45</v>
      </c>
      <c r="C8" s="12">
        <v>30</v>
      </c>
      <c r="D8" s="13">
        <v>30</v>
      </c>
      <c r="E8" s="13">
        <v>6000</v>
      </c>
      <c r="F8" s="13">
        <v>7000</v>
      </c>
      <c r="G8" s="13">
        <f t="shared" si="0"/>
        <v>180000</v>
      </c>
      <c r="H8" s="13">
        <f t="shared" si="1"/>
        <v>210000</v>
      </c>
    </row>
    <row r="9" spans="2:8" ht="17" thickBot="1" x14ac:dyDescent="0.25">
      <c r="B9" s="14" t="s">
        <v>46</v>
      </c>
      <c r="C9" s="15">
        <f>SUM(C4:C8)</f>
        <v>200</v>
      </c>
      <c r="D9" s="12"/>
      <c r="E9" s="12"/>
      <c r="F9" s="12"/>
      <c r="G9" s="26">
        <f>SUM(G4:G8)</f>
        <v>1430000</v>
      </c>
      <c r="H9" s="27">
        <f>SUM(H4:H8)</f>
        <v>1260000</v>
      </c>
    </row>
    <row r="10" spans="2:8" x14ac:dyDescent="0.2">
      <c r="B10" s="16"/>
      <c r="C10" s="16"/>
      <c r="D10" s="16"/>
      <c r="E10" s="16"/>
      <c r="F10" s="16"/>
      <c r="G10" s="16"/>
      <c r="H10" s="16"/>
    </row>
    <row r="11" spans="2:8" ht="16" x14ac:dyDescent="0.2">
      <c r="B11" s="16" t="s">
        <v>47</v>
      </c>
      <c r="C11" s="17">
        <v>200</v>
      </c>
      <c r="D11" s="16"/>
      <c r="E11" s="16"/>
      <c r="F11" s="16"/>
      <c r="G11" s="16"/>
      <c r="H11" s="16"/>
    </row>
    <row r="12" spans="2:8" ht="16" x14ac:dyDescent="0.2">
      <c r="B12" s="16" t="s">
        <v>48</v>
      </c>
      <c r="C12" s="25">
        <v>1500000</v>
      </c>
      <c r="D12" s="16"/>
      <c r="E12" s="16"/>
      <c r="F12" s="16"/>
      <c r="G12" s="16"/>
      <c r="H12" s="16"/>
    </row>
    <row r="13" spans="2:8" x14ac:dyDescent="0.2">
      <c r="B13" s="16"/>
      <c r="C13" s="16"/>
      <c r="D13" s="16"/>
      <c r="E13" s="16"/>
      <c r="F13" s="16"/>
      <c r="G13" s="16"/>
      <c r="H13" s="16"/>
    </row>
    <row r="14" spans="2:8" ht="16" x14ac:dyDescent="0.2">
      <c r="B14" s="16" t="s">
        <v>49</v>
      </c>
      <c r="C14" s="16"/>
      <c r="D14" s="16"/>
      <c r="E14" s="16"/>
      <c r="F14" s="16"/>
      <c r="G14" s="16"/>
      <c r="H14" s="16"/>
    </row>
    <row r="15" spans="2:8" x14ac:dyDescent="0.2">
      <c r="B15" s="18" t="s">
        <v>50</v>
      </c>
      <c r="C15" s="16"/>
      <c r="D15" s="16"/>
      <c r="E15" s="16"/>
      <c r="F15" s="16"/>
      <c r="G15" s="16"/>
      <c r="H15" s="16"/>
    </row>
    <row r="16" spans="2:8" x14ac:dyDescent="0.2">
      <c r="B16" s="18" t="s">
        <v>51</v>
      </c>
      <c r="C16" s="16"/>
      <c r="D16" s="16"/>
      <c r="E16" s="16"/>
      <c r="F16" s="16"/>
      <c r="G16" s="16"/>
      <c r="H16" s="16"/>
    </row>
    <row r="17" spans="2:8" x14ac:dyDescent="0.2">
      <c r="B17" s="18" t="s">
        <v>52</v>
      </c>
      <c r="C17" s="16"/>
      <c r="D17" s="16"/>
      <c r="E17" s="16"/>
      <c r="F17" s="16"/>
      <c r="G17" s="16"/>
      <c r="H17" s="16"/>
    </row>
    <row r="18" spans="2:8" x14ac:dyDescent="0.2">
      <c r="B18" s="18" t="s">
        <v>53</v>
      </c>
      <c r="C18" s="16"/>
      <c r="D18" s="16"/>
      <c r="E18" s="16"/>
      <c r="F18" s="16"/>
      <c r="G18" s="16"/>
      <c r="H18" s="16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97DE7-1245-4EDA-8BA3-89C511915530}">
  <sheetPr codeName="Sheet9"/>
  <dimension ref="A2:J16"/>
  <sheetViews>
    <sheetView zoomScale="140" zoomScaleNormal="140" workbookViewId="0">
      <selection activeCell="I18" sqref="I18"/>
    </sheetView>
  </sheetViews>
  <sheetFormatPr baseColWidth="10" defaultColWidth="8.83203125" defaultRowHeight="15" x14ac:dyDescent="0.2"/>
  <cols>
    <col min="4" max="4" width="15" customWidth="1"/>
    <col min="6" max="6" width="16.1640625" bestFit="1" customWidth="1"/>
    <col min="7" max="7" width="17.33203125" bestFit="1" customWidth="1"/>
    <col min="8" max="9" width="9" bestFit="1" customWidth="1"/>
    <col min="10" max="10" width="11" bestFit="1" customWidth="1"/>
  </cols>
  <sheetData>
    <row r="2" spans="1:10" x14ac:dyDescent="0.2">
      <c r="F2" s="68" t="s">
        <v>57</v>
      </c>
      <c r="G2" t="s">
        <v>75</v>
      </c>
    </row>
    <row r="3" spans="1:10" x14ac:dyDescent="0.2">
      <c r="F3" s="38"/>
      <c r="G3" s="38"/>
    </row>
    <row r="4" spans="1:10" x14ac:dyDescent="0.2">
      <c r="A4" s="32" t="s">
        <v>57</v>
      </c>
      <c r="B4" s="32" t="s">
        <v>58</v>
      </c>
      <c r="C4" s="32" t="s">
        <v>59</v>
      </c>
      <c r="D4" s="32" t="s">
        <v>60</v>
      </c>
      <c r="E4" s="30"/>
      <c r="F4" s="68" t="s">
        <v>74</v>
      </c>
      <c r="G4" s="68" t="s">
        <v>56</v>
      </c>
    </row>
    <row r="5" spans="1:10" x14ac:dyDescent="0.2">
      <c r="A5" s="31" t="s">
        <v>61</v>
      </c>
      <c r="B5" s="31" t="s">
        <v>62</v>
      </c>
      <c r="C5" s="31" t="s">
        <v>63</v>
      </c>
      <c r="D5" s="31">
        <v>12000000</v>
      </c>
      <c r="E5" s="30"/>
      <c r="F5" s="68" t="s">
        <v>54</v>
      </c>
      <c r="G5" t="s">
        <v>62</v>
      </c>
      <c r="H5" t="s">
        <v>66</v>
      </c>
      <c r="I5" t="s">
        <v>65</v>
      </c>
      <c r="J5" t="s">
        <v>55</v>
      </c>
    </row>
    <row r="6" spans="1:10" x14ac:dyDescent="0.2">
      <c r="A6" s="31" t="s">
        <v>64</v>
      </c>
      <c r="B6" s="31" t="s">
        <v>65</v>
      </c>
      <c r="C6" s="31" t="s">
        <v>63</v>
      </c>
      <c r="D6" s="31">
        <v>11000000</v>
      </c>
      <c r="E6" s="30"/>
      <c r="F6" s="69" t="s">
        <v>67</v>
      </c>
      <c r="G6">
        <v>20000000</v>
      </c>
      <c r="H6">
        <v>15000000</v>
      </c>
      <c r="J6">
        <v>35000000</v>
      </c>
    </row>
    <row r="7" spans="1:10" x14ac:dyDescent="0.2">
      <c r="A7" s="31" t="s">
        <v>64</v>
      </c>
      <c r="B7" s="31" t="s">
        <v>66</v>
      </c>
      <c r="C7" s="31" t="s">
        <v>67</v>
      </c>
      <c r="D7" s="31">
        <v>15000000</v>
      </c>
      <c r="E7" s="30"/>
      <c r="F7" s="69" t="s">
        <v>63</v>
      </c>
      <c r="G7">
        <v>12000000</v>
      </c>
      <c r="I7">
        <v>11000000</v>
      </c>
      <c r="J7">
        <v>23000000</v>
      </c>
    </row>
    <row r="8" spans="1:10" x14ac:dyDescent="0.2">
      <c r="A8" s="31" t="s">
        <v>61</v>
      </c>
      <c r="B8" s="31" t="s">
        <v>62</v>
      </c>
      <c r="C8" s="31" t="s">
        <v>68</v>
      </c>
      <c r="D8" s="31">
        <v>13000000</v>
      </c>
      <c r="E8" s="30"/>
      <c r="F8" s="69" t="s">
        <v>68</v>
      </c>
      <c r="G8">
        <v>30000000</v>
      </c>
      <c r="I8">
        <v>13000000</v>
      </c>
      <c r="J8">
        <v>43000000</v>
      </c>
    </row>
    <row r="9" spans="1:10" x14ac:dyDescent="0.2">
      <c r="A9" s="31" t="s">
        <v>69</v>
      </c>
      <c r="B9" s="31" t="s">
        <v>65</v>
      </c>
      <c r="C9" s="31" t="s">
        <v>68</v>
      </c>
      <c r="D9" s="31">
        <v>14000000</v>
      </c>
      <c r="E9" s="30"/>
      <c r="F9" s="69" t="s">
        <v>55</v>
      </c>
      <c r="G9">
        <v>62000000</v>
      </c>
      <c r="H9">
        <v>15000000</v>
      </c>
      <c r="I9">
        <v>24000000</v>
      </c>
      <c r="J9">
        <v>101000000</v>
      </c>
    </row>
    <row r="10" spans="1:10" x14ac:dyDescent="0.2">
      <c r="A10" s="31" t="s">
        <v>69</v>
      </c>
      <c r="B10" s="31" t="s">
        <v>66</v>
      </c>
      <c r="C10" s="31" t="s">
        <v>63</v>
      </c>
      <c r="D10" s="31">
        <v>17000000</v>
      </c>
      <c r="E10" s="30"/>
    </row>
    <row r="11" spans="1:10" x14ac:dyDescent="0.2">
      <c r="A11" s="31" t="s">
        <v>64</v>
      </c>
      <c r="B11" s="31" t="s">
        <v>62</v>
      </c>
      <c r="C11" s="31" t="s">
        <v>67</v>
      </c>
      <c r="D11" s="31">
        <v>20000000</v>
      </c>
      <c r="E11" s="30"/>
    </row>
    <row r="12" spans="1:10" x14ac:dyDescent="0.2">
      <c r="A12" s="31" t="s">
        <v>61</v>
      </c>
      <c r="B12" s="31" t="s">
        <v>65</v>
      </c>
      <c r="C12" s="31" t="s">
        <v>68</v>
      </c>
      <c r="D12" s="31">
        <v>13000000</v>
      </c>
      <c r="E12" s="30"/>
    </row>
    <row r="13" spans="1:10" x14ac:dyDescent="0.2">
      <c r="A13" s="31" t="s">
        <v>69</v>
      </c>
      <c r="B13" s="31" t="s">
        <v>66</v>
      </c>
      <c r="C13" s="31" t="s">
        <v>68</v>
      </c>
      <c r="D13" s="31">
        <v>14000000</v>
      </c>
      <c r="E13" s="30"/>
    </row>
    <row r="14" spans="1:10" x14ac:dyDescent="0.2">
      <c r="A14" s="31" t="s">
        <v>64</v>
      </c>
      <c r="B14" s="31" t="s">
        <v>62</v>
      </c>
      <c r="C14" s="31" t="s">
        <v>68</v>
      </c>
      <c r="D14" s="31">
        <v>17000000</v>
      </c>
      <c r="E14" s="30"/>
    </row>
    <row r="15" spans="1:10" x14ac:dyDescent="0.2">
      <c r="A15" s="31" t="s">
        <v>69</v>
      </c>
      <c r="B15" s="31" t="s">
        <v>65</v>
      </c>
      <c r="C15" s="31" t="s">
        <v>63</v>
      </c>
      <c r="D15" s="31">
        <v>9000000</v>
      </c>
      <c r="E15" s="30"/>
    </row>
    <row r="16" spans="1:10" x14ac:dyDescent="0.2">
      <c r="A16" s="31" t="s">
        <v>69</v>
      </c>
      <c r="B16" s="31" t="s">
        <v>66</v>
      </c>
      <c r="C16" s="31" t="s">
        <v>67</v>
      </c>
      <c r="D16" s="31">
        <v>11500000</v>
      </c>
      <c r="E16" s="30"/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HlLOOKUP</vt:lpstr>
      <vt:lpstr>VLOOKUP</vt:lpstr>
      <vt:lpstr>Auto Filter</vt:lpstr>
      <vt:lpstr>Grafik</vt:lpstr>
      <vt:lpstr>Macros</vt:lpstr>
      <vt:lpstr>test Macros</vt:lpstr>
      <vt:lpstr>goalseek</vt:lpstr>
      <vt:lpstr>solver</vt:lpstr>
      <vt:lpstr>Pivot Table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</dc:creator>
  <cp:lastModifiedBy>Atalariq</cp:lastModifiedBy>
  <cp:lastPrinted>2023-11-14T01:37:22Z</cp:lastPrinted>
  <dcterms:created xsi:type="dcterms:W3CDTF">2022-11-06T15:40:37Z</dcterms:created>
  <dcterms:modified xsi:type="dcterms:W3CDTF">2025-11-30T05:08:50Z</dcterms:modified>
</cp:coreProperties>
</file>