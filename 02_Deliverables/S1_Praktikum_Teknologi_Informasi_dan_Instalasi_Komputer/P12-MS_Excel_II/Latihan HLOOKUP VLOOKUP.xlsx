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alariq/Repos/kuliah/01 Perkuliahan/Semester 1/Praktikum Teknologi Informasi dan Instalasi Komputer/P12 - MS Excel II/"/>
    </mc:Choice>
  </mc:AlternateContent>
  <xr:revisionPtr revIDLastSave="0" documentId="13_ncr:1_{85F9720D-96EE-BA4D-91DE-8E6FFE5AE373}" xr6:coauthVersionLast="47" xr6:coauthVersionMax="47" xr10:uidLastSave="{00000000-0000-0000-0000-000000000000}"/>
  <bookViews>
    <workbookView xWindow="0" yWindow="500" windowWidth="28800" windowHeight="17500" activeTab="1" xr2:uid="{AF9C08FA-BEC4-402C-8916-57C2BBFEC994}"/>
  </bookViews>
  <sheets>
    <sheet name="HLOOKUP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11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</calcChain>
</file>

<file path=xl/sharedStrings.xml><?xml version="1.0" encoding="utf-8"?>
<sst xmlns="http://schemas.openxmlformats.org/spreadsheetml/2006/main" count="72" uniqueCount="20">
  <si>
    <t>Kode barang</t>
  </si>
  <si>
    <t>H001</t>
  </si>
  <si>
    <t>H002</t>
  </si>
  <si>
    <t>H003</t>
  </si>
  <si>
    <t>H004</t>
  </si>
  <si>
    <t>Nama</t>
  </si>
  <si>
    <t>Harga</t>
  </si>
  <si>
    <t>Potongan</t>
  </si>
  <si>
    <t>Nokia</t>
  </si>
  <si>
    <t>Samsung</t>
  </si>
  <si>
    <t>Sonny Erricson</t>
  </si>
  <si>
    <t>LG</t>
  </si>
  <si>
    <t>DAFTAR PENJUALAN HANDPHONE</t>
  </si>
  <si>
    <t>PERAGUSTUS 2008</t>
  </si>
  <si>
    <t>Jumlah</t>
  </si>
  <si>
    <t>Nama Barang</t>
  </si>
  <si>
    <t>Harga Satuan</t>
  </si>
  <si>
    <t>Harga Total</t>
  </si>
  <si>
    <t>Discount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</si>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</sst>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IDR&quot;* #,##0_);_(&quot;IDR&quot;* \(#,##0\);_(&quot;IDR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42" fontId="0" fillId="0" borderId="1" xfId="0" applyNumberFormat="1" applyFont="1" applyBorder="1"/>
    <xf numFmtId="42" fontId="2" fillId="0" borderId="1" xfId="0" applyNumberFormat="1" applyFont="1" applyBorder="1"/>
    <xf numFmtId="9" fontId="0" fillId="0" borderId="1" xfId="1" applyNumberFormat="1" applyFont="1" applyBorder="1"/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D8AC-BA0D-4680-8837-F2ABDEBFF4D8}">
  <dimension ref="B2:N19"/>
  <sheetViews>
    <sheetView zoomScale="130" zoomScaleNormal="130" workbookViewId="0"/>
  </sheetViews>
  <sheetFormatPr baseColWidth="10" defaultColWidth="8.83203125" defaultRowHeight="15" x14ac:dyDescent="0.2"/>
  <cols>
    <col min="1" max="1" width="2.33203125" customWidth="1"/>
    <col min="2" max="2" width="14.83203125" customWidth="1"/>
    <col min="3" max="3" width="16.83203125" customWidth="1"/>
    <col min="4" max="4" width="17" customWidth="1"/>
    <col min="5" max="5" width="18" customWidth="1"/>
    <col min="6" max="6" width="16" customWidth="1"/>
    <col min="7" max="7" width="12.33203125" customWidth="1"/>
    <col min="8" max="8" width="16.83203125" customWidth="1"/>
    <col min="9" max="9" width="1.83203125" customWidth="1"/>
    <col min="10" max="11" width="12.83203125" customWidth="1"/>
    <col min="13" max="13" width="12.83203125" bestFit="1" customWidth="1"/>
  </cols>
  <sheetData>
    <row r="2" spans="2:14" x14ac:dyDescent="0.2">
      <c r="B2" s="12" t="s">
        <v>12</v>
      </c>
      <c r="C2" s="13"/>
      <c r="D2" s="13"/>
      <c r="E2" s="13"/>
      <c r="F2" s="13"/>
      <c r="G2" s="13"/>
      <c r="H2" s="14"/>
    </row>
    <row r="3" spans="2:14" x14ac:dyDescent="0.2">
      <c r="B3" s="12" t="s">
        <v>13</v>
      </c>
      <c r="C3" s="13"/>
      <c r="D3" s="13"/>
      <c r="E3" s="13"/>
      <c r="F3" s="13"/>
      <c r="G3" s="13"/>
      <c r="H3" s="14"/>
    </row>
    <row r="4" spans="2:14" x14ac:dyDescent="0.2">
      <c r="B4" s="15" t="s">
        <v>0</v>
      </c>
      <c r="C4" s="15" t="s">
        <v>14</v>
      </c>
      <c r="D4" s="15" t="s">
        <v>15</v>
      </c>
      <c r="E4" s="15" t="s">
        <v>16</v>
      </c>
      <c r="F4" s="15" t="s">
        <v>17</v>
      </c>
      <c r="G4" s="15" t="s">
        <v>18</v>
      </c>
      <c r="H4" s="15" t="s">
        <v>19</v>
      </c>
    </row>
    <row r="5" spans="2:14" x14ac:dyDescent="0.2">
      <c r="B5" s="15" t="s">
        <v>1</v>
      </c>
      <c r="C5" s="15">
        <v>50</v>
      </c>
      <c r="D5" s="16" t="str">
        <f>HLOOKUP(B5,$J$9:$N$12, 2, 0)</f>
        <v>Nokia</v>
      </c>
      <c r="E5" s="17">
        <f>HLOOKUP(B5,$J$9:$N$12, 3, 0)</f>
        <v>3500000</v>
      </c>
      <c r="F5" s="18">
        <f>C5*E5</f>
        <v>175000000</v>
      </c>
      <c r="G5" s="19">
        <f>HLOOKUP(B5,$J$9:$N$12, 4, 0)</f>
        <v>0.15</v>
      </c>
      <c r="H5" s="17">
        <f>F5*(100%-G5)</f>
        <v>148750000</v>
      </c>
    </row>
    <row r="6" spans="2:14" x14ac:dyDescent="0.2">
      <c r="B6" s="15" t="s">
        <v>2</v>
      </c>
      <c r="C6" s="15">
        <v>26</v>
      </c>
      <c r="D6" s="16" t="str">
        <f t="shared" ref="D6:D19" si="0">HLOOKUP(B6,$J$9:$N$12, 2, 0)</f>
        <v>Samsung</v>
      </c>
      <c r="E6" s="17">
        <f t="shared" ref="E6:E19" si="1">HLOOKUP(B6,$J$9:$N$12, 3, 0)</f>
        <v>3000000</v>
      </c>
      <c r="F6" s="18">
        <f t="shared" ref="F6:F19" si="2">C6*E6</f>
        <v>78000000</v>
      </c>
      <c r="G6" s="19">
        <f t="shared" ref="G6:G19" si="3">HLOOKUP(B6,$J$9:$N$12, 4, 0)</f>
        <v>0.1</v>
      </c>
      <c r="H6" s="17">
        <f t="shared" ref="H6:H19" si="4">F6*(100%-G6)</f>
        <v>70200000</v>
      </c>
    </row>
    <row r="7" spans="2:14" x14ac:dyDescent="0.2">
      <c r="B7" s="15" t="s">
        <v>1</v>
      </c>
      <c r="C7" s="15">
        <v>36</v>
      </c>
      <c r="D7" s="16" t="str">
        <f t="shared" si="0"/>
        <v>Nokia</v>
      </c>
      <c r="E7" s="17">
        <f t="shared" si="1"/>
        <v>3500000</v>
      </c>
      <c r="F7" s="18">
        <f t="shared" si="2"/>
        <v>126000000</v>
      </c>
      <c r="G7" s="19">
        <f t="shared" si="3"/>
        <v>0.15</v>
      </c>
      <c r="H7" s="17">
        <f t="shared" si="4"/>
        <v>107100000</v>
      </c>
    </row>
    <row r="8" spans="2:14" x14ac:dyDescent="0.2">
      <c r="B8" s="15" t="s">
        <v>2</v>
      </c>
      <c r="C8" s="15">
        <v>54</v>
      </c>
      <c r="D8" s="16" t="str">
        <f t="shared" si="0"/>
        <v>Samsung</v>
      </c>
      <c r="E8" s="17">
        <f t="shared" si="1"/>
        <v>3000000</v>
      </c>
      <c r="F8" s="18">
        <f t="shared" si="2"/>
        <v>162000000</v>
      </c>
      <c r="G8" s="19">
        <f t="shared" si="3"/>
        <v>0.1</v>
      </c>
      <c r="H8" s="17">
        <f t="shared" si="4"/>
        <v>145800000</v>
      </c>
    </row>
    <row r="9" spans="2:14" x14ac:dyDescent="0.2">
      <c r="B9" s="15" t="s">
        <v>3</v>
      </c>
      <c r="C9" s="15">
        <v>28</v>
      </c>
      <c r="D9" s="16" t="str">
        <f t="shared" si="0"/>
        <v>Sonny Erricson</v>
      </c>
      <c r="E9" s="17">
        <f t="shared" si="1"/>
        <v>2500000</v>
      </c>
      <c r="F9" s="18">
        <f t="shared" si="2"/>
        <v>70000000</v>
      </c>
      <c r="G9" s="19">
        <f t="shared" si="3"/>
        <v>7.0000000000000007E-2</v>
      </c>
      <c r="H9" s="17">
        <f t="shared" si="4"/>
        <v>65099999.999999993</v>
      </c>
      <c r="J9" s="20" t="s">
        <v>0</v>
      </c>
      <c r="K9" s="20" t="s">
        <v>1</v>
      </c>
      <c r="L9" s="20" t="s">
        <v>2</v>
      </c>
      <c r="M9" s="20" t="s">
        <v>3</v>
      </c>
      <c r="N9" s="20" t="s">
        <v>4</v>
      </c>
    </row>
    <row r="10" spans="2:14" x14ac:dyDescent="0.2">
      <c r="B10" s="15" t="s">
        <v>4</v>
      </c>
      <c r="C10" s="15">
        <v>18</v>
      </c>
      <c r="D10" s="16" t="str">
        <f t="shared" si="0"/>
        <v>LG</v>
      </c>
      <c r="E10" s="17">
        <f t="shared" si="1"/>
        <v>3250000</v>
      </c>
      <c r="F10" s="18">
        <f t="shared" si="2"/>
        <v>58500000</v>
      </c>
      <c r="G10" s="19">
        <f t="shared" si="3"/>
        <v>0.05</v>
      </c>
      <c r="H10" s="17">
        <f t="shared" si="4"/>
        <v>55575000</v>
      </c>
      <c r="J10" s="15" t="s">
        <v>5</v>
      </c>
      <c r="K10" s="21" t="s">
        <v>8</v>
      </c>
      <c r="L10" s="21" t="s">
        <v>9</v>
      </c>
      <c r="M10" s="21" t="s">
        <v>10</v>
      </c>
      <c r="N10" s="21" t="s">
        <v>11</v>
      </c>
    </row>
    <row r="11" spans="2:14" x14ac:dyDescent="0.2">
      <c r="B11" s="15" t="s">
        <v>2</v>
      </c>
      <c r="C11" s="15">
        <v>19</v>
      </c>
      <c r="D11" s="16" t="str">
        <f t="shared" si="0"/>
        <v>Samsung</v>
      </c>
      <c r="E11" s="17">
        <f t="shared" si="1"/>
        <v>3000000</v>
      </c>
      <c r="F11" s="18">
        <f t="shared" si="2"/>
        <v>57000000</v>
      </c>
      <c r="G11" s="19">
        <f t="shared" si="3"/>
        <v>0.1</v>
      </c>
      <c r="H11" s="17">
        <f t="shared" si="4"/>
        <v>51300000</v>
      </c>
      <c r="J11" s="15" t="s">
        <v>6</v>
      </c>
      <c r="K11" s="21">
        <v>3500000</v>
      </c>
      <c r="L11" s="21">
        <v>3000000</v>
      </c>
      <c r="M11" s="21">
        <v>2500000</v>
      </c>
      <c r="N11" s="21">
        <v>3250000</v>
      </c>
    </row>
    <row r="12" spans="2:14" x14ac:dyDescent="0.2">
      <c r="B12" s="15" t="s">
        <v>2</v>
      </c>
      <c r="C12" s="15">
        <v>47</v>
      </c>
      <c r="D12" s="16" t="str">
        <f t="shared" si="0"/>
        <v>Samsung</v>
      </c>
      <c r="E12" s="17">
        <f t="shared" si="1"/>
        <v>3000000</v>
      </c>
      <c r="F12" s="18">
        <f t="shared" si="2"/>
        <v>141000000</v>
      </c>
      <c r="G12" s="19">
        <f t="shared" si="3"/>
        <v>0.1</v>
      </c>
      <c r="H12" s="17">
        <f t="shared" si="4"/>
        <v>126900000</v>
      </c>
      <c r="J12" s="15" t="s">
        <v>7</v>
      </c>
      <c r="K12" s="22">
        <v>0.15</v>
      </c>
      <c r="L12" s="22">
        <v>0.1</v>
      </c>
      <c r="M12" s="22">
        <v>7.0000000000000007E-2</v>
      </c>
      <c r="N12" s="22">
        <v>0.05</v>
      </c>
    </row>
    <row r="13" spans="2:14" x14ac:dyDescent="0.2">
      <c r="B13" s="15" t="s">
        <v>1</v>
      </c>
      <c r="C13" s="15">
        <v>60</v>
      </c>
      <c r="D13" s="16" t="str">
        <f t="shared" si="0"/>
        <v>Nokia</v>
      </c>
      <c r="E13" s="17">
        <f t="shared" si="1"/>
        <v>3500000</v>
      </c>
      <c r="F13" s="18">
        <f t="shared" si="2"/>
        <v>210000000</v>
      </c>
      <c r="G13" s="19">
        <f t="shared" si="3"/>
        <v>0.15</v>
      </c>
      <c r="H13" s="17">
        <f t="shared" si="4"/>
        <v>178500000</v>
      </c>
    </row>
    <row r="14" spans="2:14" x14ac:dyDescent="0.2">
      <c r="B14" s="15" t="s">
        <v>3</v>
      </c>
      <c r="C14" s="15">
        <v>55</v>
      </c>
      <c r="D14" s="16" t="str">
        <f t="shared" si="0"/>
        <v>Sonny Erricson</v>
      </c>
      <c r="E14" s="17">
        <f t="shared" si="1"/>
        <v>2500000</v>
      </c>
      <c r="F14" s="18">
        <f t="shared" si="2"/>
        <v>137500000</v>
      </c>
      <c r="G14" s="19">
        <f t="shared" si="3"/>
        <v>7.0000000000000007E-2</v>
      </c>
      <c r="H14" s="17">
        <f t="shared" si="4"/>
        <v>127874999.99999999</v>
      </c>
    </row>
    <row r="15" spans="2:14" x14ac:dyDescent="0.2">
      <c r="B15" s="15" t="s">
        <v>4</v>
      </c>
      <c r="C15" s="15">
        <v>25</v>
      </c>
      <c r="D15" s="16" t="str">
        <f t="shared" si="0"/>
        <v>LG</v>
      </c>
      <c r="E15" s="17">
        <f t="shared" si="1"/>
        <v>3250000</v>
      </c>
      <c r="F15" s="18">
        <f t="shared" si="2"/>
        <v>81250000</v>
      </c>
      <c r="G15" s="19">
        <f t="shared" si="3"/>
        <v>0.05</v>
      </c>
      <c r="H15" s="17">
        <f t="shared" si="4"/>
        <v>77187500</v>
      </c>
    </row>
    <row r="16" spans="2:14" x14ac:dyDescent="0.2">
      <c r="B16" s="15" t="s">
        <v>2</v>
      </c>
      <c r="C16" s="15">
        <v>46</v>
      </c>
      <c r="D16" s="16" t="str">
        <f t="shared" si="0"/>
        <v>Samsung</v>
      </c>
      <c r="E16" s="17">
        <f t="shared" si="1"/>
        <v>3000000</v>
      </c>
      <c r="F16" s="18">
        <f t="shared" si="2"/>
        <v>138000000</v>
      </c>
      <c r="G16" s="19">
        <f t="shared" si="3"/>
        <v>0.1</v>
      </c>
      <c r="H16" s="17">
        <f t="shared" si="4"/>
        <v>124200000</v>
      </c>
    </row>
    <row r="17" spans="2:8" x14ac:dyDescent="0.2">
      <c r="B17" s="15" t="s">
        <v>2</v>
      </c>
      <c r="C17" s="15">
        <v>85</v>
      </c>
      <c r="D17" s="16" t="str">
        <f t="shared" si="0"/>
        <v>Samsung</v>
      </c>
      <c r="E17" s="17">
        <f t="shared" si="1"/>
        <v>3000000</v>
      </c>
      <c r="F17" s="18">
        <f t="shared" si="2"/>
        <v>255000000</v>
      </c>
      <c r="G17" s="19">
        <f t="shared" si="3"/>
        <v>0.1</v>
      </c>
      <c r="H17" s="17">
        <f t="shared" si="4"/>
        <v>229500000</v>
      </c>
    </row>
    <row r="18" spans="2:8" x14ac:dyDescent="0.2">
      <c r="B18" s="15" t="s">
        <v>2</v>
      </c>
      <c r="C18" s="15">
        <v>25</v>
      </c>
      <c r="D18" s="16" t="str">
        <f t="shared" si="0"/>
        <v>Samsung</v>
      </c>
      <c r="E18" s="17">
        <f t="shared" si="1"/>
        <v>3000000</v>
      </c>
      <c r="F18" s="18">
        <f t="shared" si="2"/>
        <v>75000000</v>
      </c>
      <c r="G18" s="19">
        <f t="shared" si="3"/>
        <v>0.1</v>
      </c>
      <c r="H18" s="17">
        <f t="shared" si="4"/>
        <v>67500000</v>
      </c>
    </row>
    <row r="19" spans="2:8" x14ac:dyDescent="0.2">
      <c r="B19" s="15" t="s">
        <v>3</v>
      </c>
      <c r="C19" s="15">
        <v>20</v>
      </c>
      <c r="D19" s="16" t="str">
        <f t="shared" si="0"/>
        <v>Sonny Erricson</v>
      </c>
      <c r="E19" s="17">
        <f t="shared" si="1"/>
        <v>2500000</v>
      </c>
      <c r="F19" s="18">
        <f t="shared" si="2"/>
        <v>50000000</v>
      </c>
      <c r="G19" s="19">
        <f t="shared" si="3"/>
        <v>7.0000000000000007E-2</v>
      </c>
      <c r="H19" s="17">
        <f t="shared" si="4"/>
        <v>46500000</v>
      </c>
    </row>
  </sheetData>
  <mergeCells count="2">
    <mergeCell ref="B2:H2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465D-33CE-4AFF-83D2-693374586FFF}">
  <dimension ref="B2:H25"/>
  <sheetViews>
    <sheetView tabSelected="1" zoomScale="140" zoomScaleNormal="140" workbookViewId="0"/>
  </sheetViews>
  <sheetFormatPr baseColWidth="10" defaultColWidth="8.83203125" defaultRowHeight="15" x14ac:dyDescent="0.2"/>
  <cols>
    <col min="1" max="1" width="3" customWidth="1"/>
    <col min="2" max="2" width="14.83203125" customWidth="1"/>
    <col min="3" max="3" width="16.83203125" customWidth="1"/>
    <col min="4" max="4" width="17" customWidth="1"/>
    <col min="5" max="5" width="18" customWidth="1"/>
    <col min="6" max="6" width="16.6640625" customWidth="1"/>
    <col min="7" max="7" width="10.1640625" customWidth="1"/>
    <col min="8" max="8" width="16.83203125" customWidth="1"/>
    <col min="9" max="11" width="12.83203125" customWidth="1"/>
  </cols>
  <sheetData>
    <row r="2" spans="2:8" x14ac:dyDescent="0.2">
      <c r="B2" s="1" t="s">
        <v>0</v>
      </c>
      <c r="C2" s="2" t="s">
        <v>5</v>
      </c>
      <c r="D2" s="2" t="s">
        <v>6</v>
      </c>
      <c r="E2" s="2" t="s">
        <v>7</v>
      </c>
      <c r="F2" s="6"/>
    </row>
    <row r="3" spans="2:8" x14ac:dyDescent="0.2">
      <c r="B3" s="1" t="s">
        <v>1</v>
      </c>
      <c r="C3" s="3" t="s">
        <v>8</v>
      </c>
      <c r="D3" s="23">
        <v>3500000</v>
      </c>
      <c r="E3" s="4">
        <v>0.15</v>
      </c>
      <c r="F3" s="7"/>
    </row>
    <row r="4" spans="2:8" x14ac:dyDescent="0.2">
      <c r="B4" s="1" t="s">
        <v>2</v>
      </c>
      <c r="C4" s="3" t="s">
        <v>9</v>
      </c>
      <c r="D4" s="23">
        <v>3000000</v>
      </c>
      <c r="E4" s="4">
        <v>0.1</v>
      </c>
      <c r="F4" s="7"/>
    </row>
    <row r="5" spans="2:8" x14ac:dyDescent="0.2">
      <c r="B5" s="1" t="s">
        <v>3</v>
      </c>
      <c r="C5" s="3" t="s">
        <v>10</v>
      </c>
      <c r="D5" s="23">
        <v>2500000</v>
      </c>
      <c r="E5" s="4">
        <v>7.0000000000000007E-2</v>
      </c>
      <c r="F5" s="8"/>
    </row>
    <row r="6" spans="2:8" x14ac:dyDescent="0.2">
      <c r="B6" s="1" t="s">
        <v>4</v>
      </c>
      <c r="C6" s="3" t="s">
        <v>11</v>
      </c>
      <c r="D6" s="23">
        <v>3250000</v>
      </c>
      <c r="E6" s="4">
        <v>0.05</v>
      </c>
    </row>
    <row r="8" spans="2:8" x14ac:dyDescent="0.2">
      <c r="B8" s="9" t="s">
        <v>12</v>
      </c>
      <c r="C8" s="10"/>
      <c r="D8" s="10"/>
      <c r="E8" s="10"/>
      <c r="F8" s="10"/>
      <c r="G8" s="10"/>
      <c r="H8" s="11"/>
    </row>
    <row r="9" spans="2:8" x14ac:dyDescent="0.2">
      <c r="B9" s="9" t="s">
        <v>13</v>
      </c>
      <c r="C9" s="10"/>
      <c r="D9" s="10"/>
      <c r="E9" s="10"/>
      <c r="F9" s="10"/>
      <c r="G9" s="10"/>
      <c r="H9" s="11"/>
    </row>
    <row r="10" spans="2:8" x14ac:dyDescent="0.2">
      <c r="B10" s="15" t="s">
        <v>0</v>
      </c>
      <c r="C10" s="15" t="s">
        <v>14</v>
      </c>
      <c r="D10" s="15" t="s">
        <v>15</v>
      </c>
      <c r="E10" s="15" t="s">
        <v>16</v>
      </c>
      <c r="F10" s="15" t="s">
        <v>17</v>
      </c>
      <c r="G10" s="15" t="s">
        <v>18</v>
      </c>
      <c r="H10" s="15" t="s">
        <v>19</v>
      </c>
    </row>
    <row r="11" spans="2:8" x14ac:dyDescent="0.2">
      <c r="B11" s="15" t="s">
        <v>1</v>
      </c>
      <c r="C11" s="15">
        <v>50</v>
      </c>
      <c r="D11" s="16" t="str">
        <f>VLOOKUP(B11, $B$2:$E$6, 2, 0)</f>
        <v>Nokia</v>
      </c>
      <c r="E11" s="17">
        <f>VLOOKUP(B11, $B$2:$E$6, 3, 0)</f>
        <v>3500000</v>
      </c>
      <c r="F11" s="18">
        <f>C11*E11</f>
        <v>175000000</v>
      </c>
      <c r="G11" s="5">
        <f>VLOOKUP(B11, $B$2:$E$6, 4, 0)</f>
        <v>0.15</v>
      </c>
      <c r="H11" s="17">
        <f>F11*(100%-G11)</f>
        <v>148750000</v>
      </c>
    </row>
    <row r="12" spans="2:8" x14ac:dyDescent="0.2">
      <c r="B12" s="15" t="s">
        <v>2</v>
      </c>
      <c r="C12" s="15">
        <v>26</v>
      </c>
      <c r="D12" s="16" t="str">
        <f t="shared" ref="D12:D25" si="0">VLOOKUP(B12, $B$2:$E$6, 2, 0)</f>
        <v>Samsung</v>
      </c>
      <c r="E12" s="17">
        <f t="shared" ref="E12:E25" si="1">VLOOKUP(B12, $B$2:$E$6, 3, 0)</f>
        <v>3000000</v>
      </c>
      <c r="F12" s="18">
        <f t="shared" ref="F12:F25" si="2">C12*E12</f>
        <v>78000000</v>
      </c>
      <c r="G12" s="5">
        <f t="shared" ref="G12:G25" si="3">VLOOKUP(B12, $B$2:$E$6, 4, 0)</f>
        <v>0.1</v>
      </c>
      <c r="H12" s="17">
        <f t="shared" ref="H12:H25" si="4">F12*(100%-G12)</f>
        <v>70200000</v>
      </c>
    </row>
    <row r="13" spans="2:8" x14ac:dyDescent="0.2">
      <c r="B13" s="15" t="s">
        <v>1</v>
      </c>
      <c r="C13" s="15">
        <v>36</v>
      </c>
      <c r="D13" s="16" t="str">
        <f t="shared" si="0"/>
        <v>Nokia</v>
      </c>
      <c r="E13" s="17">
        <f t="shared" si="1"/>
        <v>3500000</v>
      </c>
      <c r="F13" s="18">
        <f t="shared" si="2"/>
        <v>126000000</v>
      </c>
      <c r="G13" s="5">
        <f t="shared" si="3"/>
        <v>0.15</v>
      </c>
      <c r="H13" s="17">
        <f t="shared" si="4"/>
        <v>107100000</v>
      </c>
    </row>
    <row r="14" spans="2:8" x14ac:dyDescent="0.2">
      <c r="B14" s="15" t="s">
        <v>2</v>
      </c>
      <c r="C14" s="15">
        <v>54</v>
      </c>
      <c r="D14" s="16" t="str">
        <f t="shared" si="0"/>
        <v>Samsung</v>
      </c>
      <c r="E14" s="17">
        <f t="shared" si="1"/>
        <v>3000000</v>
      </c>
      <c r="F14" s="18">
        <f t="shared" si="2"/>
        <v>162000000</v>
      </c>
      <c r="G14" s="5">
        <f t="shared" si="3"/>
        <v>0.1</v>
      </c>
      <c r="H14" s="17">
        <f t="shared" si="4"/>
        <v>145800000</v>
      </c>
    </row>
    <row r="15" spans="2:8" x14ac:dyDescent="0.2">
      <c r="B15" s="15" t="s">
        <v>3</v>
      </c>
      <c r="C15" s="15">
        <v>28</v>
      </c>
      <c r="D15" s="16" t="str">
        <f t="shared" si="0"/>
        <v>Sonny Erricson</v>
      </c>
      <c r="E15" s="17">
        <f t="shared" si="1"/>
        <v>2500000</v>
      </c>
      <c r="F15" s="18">
        <f t="shared" si="2"/>
        <v>70000000</v>
      </c>
      <c r="G15" s="5">
        <f t="shared" si="3"/>
        <v>7.0000000000000007E-2</v>
      </c>
      <c r="H15" s="17">
        <f t="shared" si="4"/>
        <v>65099999.999999993</v>
      </c>
    </row>
    <row r="16" spans="2:8" x14ac:dyDescent="0.2">
      <c r="B16" s="15" t="s">
        <v>4</v>
      </c>
      <c r="C16" s="15">
        <v>18</v>
      </c>
      <c r="D16" s="16" t="str">
        <f t="shared" si="0"/>
        <v>LG</v>
      </c>
      <c r="E16" s="17">
        <f t="shared" si="1"/>
        <v>3250000</v>
      </c>
      <c r="F16" s="18">
        <f t="shared" si="2"/>
        <v>58500000</v>
      </c>
      <c r="G16" s="5">
        <f t="shared" si="3"/>
        <v>0.05</v>
      </c>
      <c r="H16" s="17">
        <f t="shared" si="4"/>
        <v>55575000</v>
      </c>
    </row>
    <row r="17" spans="2:8" x14ac:dyDescent="0.2">
      <c r="B17" s="15" t="s">
        <v>2</v>
      </c>
      <c r="C17" s="15">
        <v>19</v>
      </c>
      <c r="D17" s="16" t="str">
        <f t="shared" si="0"/>
        <v>Samsung</v>
      </c>
      <c r="E17" s="17">
        <f t="shared" si="1"/>
        <v>3000000</v>
      </c>
      <c r="F17" s="18">
        <f t="shared" si="2"/>
        <v>57000000</v>
      </c>
      <c r="G17" s="5">
        <f t="shared" si="3"/>
        <v>0.1</v>
      </c>
      <c r="H17" s="17">
        <f t="shared" si="4"/>
        <v>51300000</v>
      </c>
    </row>
    <row r="18" spans="2:8" x14ac:dyDescent="0.2">
      <c r="B18" s="15" t="s">
        <v>2</v>
      </c>
      <c r="C18" s="15">
        <v>47</v>
      </c>
      <c r="D18" s="16" t="str">
        <f t="shared" si="0"/>
        <v>Samsung</v>
      </c>
      <c r="E18" s="17">
        <f t="shared" si="1"/>
        <v>3000000</v>
      </c>
      <c r="F18" s="18">
        <f t="shared" si="2"/>
        <v>141000000</v>
      </c>
      <c r="G18" s="5">
        <f t="shared" si="3"/>
        <v>0.1</v>
      </c>
      <c r="H18" s="17">
        <f t="shared" si="4"/>
        <v>126900000</v>
      </c>
    </row>
    <row r="19" spans="2:8" x14ac:dyDescent="0.2">
      <c r="B19" s="15" t="s">
        <v>1</v>
      </c>
      <c r="C19" s="15">
        <v>60</v>
      </c>
      <c r="D19" s="16" t="str">
        <f t="shared" si="0"/>
        <v>Nokia</v>
      </c>
      <c r="E19" s="17">
        <f t="shared" si="1"/>
        <v>3500000</v>
      </c>
      <c r="F19" s="18">
        <f t="shared" si="2"/>
        <v>210000000</v>
      </c>
      <c r="G19" s="5">
        <f t="shared" si="3"/>
        <v>0.15</v>
      </c>
      <c r="H19" s="17">
        <f t="shared" si="4"/>
        <v>178500000</v>
      </c>
    </row>
    <row r="20" spans="2:8" x14ac:dyDescent="0.2">
      <c r="B20" s="15" t="s">
        <v>3</v>
      </c>
      <c r="C20" s="15">
        <v>55</v>
      </c>
      <c r="D20" s="16" t="str">
        <f t="shared" si="0"/>
        <v>Sonny Erricson</v>
      </c>
      <c r="E20" s="17">
        <f t="shared" si="1"/>
        <v>2500000</v>
      </c>
      <c r="F20" s="18">
        <f t="shared" si="2"/>
        <v>137500000</v>
      </c>
      <c r="G20" s="5">
        <f t="shared" si="3"/>
        <v>7.0000000000000007E-2</v>
      </c>
      <c r="H20" s="17">
        <f t="shared" si="4"/>
        <v>127874999.99999999</v>
      </c>
    </row>
    <row r="21" spans="2:8" x14ac:dyDescent="0.2">
      <c r="B21" s="15" t="s">
        <v>4</v>
      </c>
      <c r="C21" s="15">
        <v>25</v>
      </c>
      <c r="D21" s="16" t="str">
        <f t="shared" si="0"/>
        <v>LG</v>
      </c>
      <c r="E21" s="17">
        <f t="shared" si="1"/>
        <v>3250000</v>
      </c>
      <c r="F21" s="18">
        <f t="shared" si="2"/>
        <v>81250000</v>
      </c>
      <c r="G21" s="5">
        <f t="shared" si="3"/>
        <v>0.05</v>
      </c>
      <c r="H21" s="17">
        <f t="shared" si="4"/>
        <v>77187500</v>
      </c>
    </row>
    <row r="22" spans="2:8" x14ac:dyDescent="0.2">
      <c r="B22" s="15" t="s">
        <v>2</v>
      </c>
      <c r="C22" s="15">
        <v>46</v>
      </c>
      <c r="D22" s="16" t="str">
        <f t="shared" si="0"/>
        <v>Samsung</v>
      </c>
      <c r="E22" s="17">
        <f t="shared" si="1"/>
        <v>3000000</v>
      </c>
      <c r="F22" s="18">
        <f t="shared" si="2"/>
        <v>138000000</v>
      </c>
      <c r="G22" s="5">
        <f t="shared" si="3"/>
        <v>0.1</v>
      </c>
      <c r="H22" s="17">
        <f t="shared" si="4"/>
        <v>124200000</v>
      </c>
    </row>
    <row r="23" spans="2:8" x14ac:dyDescent="0.2">
      <c r="B23" s="15" t="s">
        <v>2</v>
      </c>
      <c r="C23" s="15">
        <v>85</v>
      </c>
      <c r="D23" s="16" t="str">
        <f t="shared" si="0"/>
        <v>Samsung</v>
      </c>
      <c r="E23" s="17">
        <f t="shared" si="1"/>
        <v>3000000</v>
      </c>
      <c r="F23" s="18">
        <f t="shared" si="2"/>
        <v>255000000</v>
      </c>
      <c r="G23" s="5">
        <f t="shared" si="3"/>
        <v>0.1</v>
      </c>
      <c r="H23" s="17">
        <f t="shared" si="4"/>
        <v>229500000</v>
      </c>
    </row>
    <row r="24" spans="2:8" x14ac:dyDescent="0.2">
      <c r="B24" s="15" t="s">
        <v>2</v>
      </c>
      <c r="C24" s="15">
        <v>25</v>
      </c>
      <c r="D24" s="16" t="str">
        <f t="shared" si="0"/>
        <v>Samsung</v>
      </c>
      <c r="E24" s="17">
        <f t="shared" si="1"/>
        <v>3000000</v>
      </c>
      <c r="F24" s="18">
        <f t="shared" si="2"/>
        <v>75000000</v>
      </c>
      <c r="G24" s="5">
        <f t="shared" si="3"/>
        <v>0.1</v>
      </c>
      <c r="H24" s="17">
        <f t="shared" si="4"/>
        <v>67500000</v>
      </c>
    </row>
    <row r="25" spans="2:8" x14ac:dyDescent="0.2">
      <c r="B25" s="15" t="s">
        <v>3</v>
      </c>
      <c r="C25" s="15">
        <v>20</v>
      </c>
      <c r="D25" s="16" t="str">
        <f t="shared" si="0"/>
        <v>Sonny Erricson</v>
      </c>
      <c r="E25" s="17">
        <f t="shared" si="1"/>
        <v>2500000</v>
      </c>
      <c r="F25" s="18">
        <f t="shared" si="2"/>
        <v>50000000</v>
      </c>
      <c r="G25" s="5">
        <f t="shared" si="3"/>
        <v>7.0000000000000007E-2</v>
      </c>
      <c r="H25" s="17">
        <f t="shared" si="4"/>
        <v>46500000</v>
      </c>
    </row>
  </sheetData>
  <mergeCells count="2">
    <mergeCell ref="B8:H8"/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HLOOKUP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rangga game</dc:creator>
  <cp:lastModifiedBy>Atalariq</cp:lastModifiedBy>
  <dcterms:created xsi:type="dcterms:W3CDTF">2023-11-13T06:40:52Z</dcterms:created>
  <dcterms:modified xsi:type="dcterms:W3CDTF">2025-11-30T04:52:38Z</dcterms:modified>
</cp:coreProperties>
</file>